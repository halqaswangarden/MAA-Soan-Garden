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ec 2024" sheetId="1" r:id="rId5"/>
    <sheet state="visible" name="Nov 2024" sheetId="2" r:id="rId6"/>
    <sheet state="visible" name="Oct 2024" sheetId="3" r:id="rId7"/>
    <sheet state="visible" name="Sep 2024" sheetId="4" r:id="rId8"/>
    <sheet state="visible" name="August" sheetId="5" r:id="rId9"/>
    <sheet state="visible" name="July 2024" sheetId="6" r:id="rId10"/>
    <sheet state="visible" name="June 2024" sheetId="7" r:id="rId11"/>
    <sheet state="visible" name="May 2024" sheetId="8" r:id="rId12"/>
    <sheet state="visible" name="Apr 2024" sheetId="9" r:id="rId13"/>
    <sheet state="visible" name="Mar 2024" sheetId="10" r:id="rId14"/>
    <sheet state="visible" name="Feb 2024" sheetId="11" r:id="rId15"/>
    <sheet state="visible" name="Jan 2024" sheetId="12" r:id="rId16"/>
    <sheet state="visible" name="Contact No" sheetId="13" r:id="rId17"/>
    <sheet state="visible" name="Email Address" sheetId="14" r:id="rId18"/>
    <sheet state="visible" name="Printable" sheetId="15" r:id="rId19"/>
    <sheet state="visible" name="NewRemove" sheetId="16" r:id="rId20"/>
  </sheets>
  <definedNames/>
  <calcPr/>
</workbook>
</file>

<file path=xl/sharedStrings.xml><?xml version="1.0" encoding="utf-8"?>
<sst xmlns="http://schemas.openxmlformats.org/spreadsheetml/2006/main" count="6017" uniqueCount="280">
  <si>
    <t>تاریخ</t>
  </si>
  <si>
    <t>اسلام آباد</t>
  </si>
  <si>
    <t>ضلع</t>
  </si>
  <si>
    <t>سواں گارڈن</t>
  </si>
  <si>
    <t>کوائِف تجنید مجلس</t>
  </si>
  <si>
    <t>تصویر</t>
  </si>
  <si>
    <t>شناختی کارڈ نمبر</t>
  </si>
  <si>
    <t>بلڈ گروپ</t>
  </si>
  <si>
    <t>پیشہ</t>
  </si>
  <si>
    <t xml:space="preserve">قرآن کریم </t>
  </si>
  <si>
    <t xml:space="preserve">نماز </t>
  </si>
  <si>
    <t>تعلیم</t>
  </si>
  <si>
    <t>وصیت نمبر</t>
  </si>
  <si>
    <t>سن بیعت</t>
  </si>
  <si>
    <t>سن  پیدائش</t>
  </si>
  <si>
    <t>فون نمبر</t>
  </si>
  <si>
    <t xml:space="preserve">ولدیت  </t>
  </si>
  <si>
    <t xml:space="preserve">صف اول یا صف دوم </t>
  </si>
  <si>
    <t>نام رکن</t>
  </si>
  <si>
    <t xml:space="preserve">تجنید نمبر  </t>
  </si>
  <si>
    <t>نمبر شمار</t>
  </si>
  <si>
    <t>current date</t>
  </si>
  <si>
    <t>Current Age</t>
  </si>
  <si>
    <t>Age in Years</t>
  </si>
  <si>
    <t>حلقہ سواں گارڈن</t>
  </si>
  <si>
    <t>Y</t>
  </si>
  <si>
    <t>34402-9155053-3</t>
  </si>
  <si>
    <t>O+</t>
  </si>
  <si>
    <t>مربی سلسلہ</t>
  </si>
  <si>
    <t xml:space="preserve">باترجمہ </t>
  </si>
  <si>
    <t xml:space="preserve">سادہ </t>
  </si>
  <si>
    <t>میٹرک</t>
  </si>
  <si>
    <t>000034769</t>
  </si>
  <si>
    <t>0301 5257807</t>
  </si>
  <si>
    <t>عبدالقیوم صاحب</t>
  </si>
  <si>
    <t>صف دوم</t>
  </si>
  <si>
    <t>امان اللہ صاحب</t>
  </si>
  <si>
    <t>N</t>
  </si>
  <si>
    <t>37202-9155683-9</t>
  </si>
  <si>
    <t xml:space="preserve">ملازمت </t>
  </si>
  <si>
    <t>نہیں</t>
  </si>
  <si>
    <t>ماسٹرز</t>
  </si>
  <si>
    <t>پیدائشی احمدی</t>
  </si>
  <si>
    <t>0314 4093643</t>
  </si>
  <si>
    <t>مبارک احمد صاحب</t>
  </si>
  <si>
    <t>توصیف احمد صاحب</t>
  </si>
  <si>
    <t>42201-8218099-5</t>
  </si>
  <si>
    <t>A+</t>
  </si>
  <si>
    <t>بیچلر</t>
  </si>
  <si>
    <t>0333 5120560</t>
  </si>
  <si>
    <t>رفیق احمد صالح صاحب</t>
  </si>
  <si>
    <t>ثمر مہدی صاحب</t>
  </si>
  <si>
    <t>61101-7635663-1</t>
  </si>
  <si>
    <t>B+</t>
  </si>
  <si>
    <t xml:space="preserve">ریٹاریڈ آفیسر  </t>
  </si>
  <si>
    <t>صالح محمد صاحب</t>
  </si>
  <si>
    <t>صف اول</t>
  </si>
  <si>
    <t>37405-5266173-1</t>
  </si>
  <si>
    <t>ڈاکٹر(MBBS)</t>
  </si>
  <si>
    <t>0300 9508582</t>
  </si>
  <si>
    <t>عبدالحق قریشی صاحب</t>
  </si>
  <si>
    <t>مبشر اقبال قریشی صاحب</t>
  </si>
  <si>
    <t>37406-1614450-5</t>
  </si>
  <si>
    <t>بیچلر(انجنیر)</t>
  </si>
  <si>
    <t>000033558</t>
  </si>
  <si>
    <t>0306 5313139</t>
  </si>
  <si>
    <t>محمد نصراللہ صاحب</t>
  </si>
  <si>
    <t>محمد حبیب اللہ صاحب</t>
  </si>
  <si>
    <t>54400-0111383-5</t>
  </si>
  <si>
    <t>O-</t>
  </si>
  <si>
    <t>000051976</t>
  </si>
  <si>
    <t>0333 7801634</t>
  </si>
  <si>
    <t>حاجی لال دین صاحب</t>
  </si>
  <si>
    <t>محمد عبدالسلام صاحب</t>
  </si>
  <si>
    <t>12101-7050660-9</t>
  </si>
  <si>
    <t>AB+</t>
  </si>
  <si>
    <t xml:space="preserve">کاروبار </t>
  </si>
  <si>
    <t>000127842</t>
  </si>
  <si>
    <t>0334 7217234</t>
  </si>
  <si>
    <t>اعجاز احمد صاحب</t>
  </si>
  <si>
    <t>حبیب احمد صاحب</t>
  </si>
  <si>
    <t>37405-9440905-9</t>
  </si>
  <si>
    <t>0317 0815346</t>
  </si>
  <si>
    <t>ڈاکٹر نشاط احمد صاحب</t>
  </si>
  <si>
    <t>حفاظت عمران صاحب</t>
  </si>
  <si>
    <t>61101-1794961-1</t>
  </si>
  <si>
    <t>000140743</t>
  </si>
  <si>
    <t>0300 9750000</t>
  </si>
  <si>
    <t>منور احمد ملك صاحب</t>
  </si>
  <si>
    <t>ناصر محمود صاحب</t>
  </si>
  <si>
    <t>35202-2702325-7</t>
  </si>
  <si>
    <t>000127715</t>
  </si>
  <si>
    <t>0344 7801548</t>
  </si>
  <si>
    <t>بشیر احمد قریشی صاحب</t>
  </si>
  <si>
    <t>منیر احمد قریشی صاحب</t>
  </si>
  <si>
    <t>61101-4042882-9</t>
  </si>
  <si>
    <t xml:space="preserve"> نہیں </t>
  </si>
  <si>
    <t xml:space="preserve">سادہ  </t>
  </si>
  <si>
    <t xml:space="preserve">باترجمہ  </t>
  </si>
  <si>
    <t>MBA</t>
  </si>
  <si>
    <t>000041410</t>
  </si>
  <si>
    <t>0321 5003023</t>
  </si>
  <si>
    <t>عمر مہدی صاحب</t>
  </si>
  <si>
    <t>16101-9961330-9</t>
  </si>
  <si>
    <t xml:space="preserve">MSc </t>
  </si>
  <si>
    <t>000129466</t>
  </si>
  <si>
    <t>051 2374598</t>
  </si>
  <si>
    <t>میاں شہاب الدین صاحب</t>
  </si>
  <si>
    <t>میاں سعد الدین صاحب</t>
  </si>
  <si>
    <t>34202-5874521-5</t>
  </si>
  <si>
    <t xml:space="preserve">زمیندار </t>
  </si>
  <si>
    <t>BA</t>
  </si>
  <si>
    <t>چودھری سلام الدین جنجو عہ صاحب</t>
  </si>
  <si>
    <t>چودھری سجاد احمد جنجو عہ صاحب</t>
  </si>
  <si>
    <t>34301-1782620-1</t>
  </si>
  <si>
    <t>وکالت</t>
  </si>
  <si>
    <t>MBA, LLB</t>
  </si>
  <si>
    <t>000119790</t>
  </si>
  <si>
    <t>0300 5187397</t>
  </si>
  <si>
    <t>قاضی نزرمحمد صاحب</t>
  </si>
  <si>
    <t>ملک احمد رضوان صاحب</t>
  </si>
  <si>
    <t>FA</t>
  </si>
  <si>
    <t>0312 5116336</t>
  </si>
  <si>
    <t>غلام حیدر صاحب</t>
  </si>
  <si>
    <t>شاہد رفیق عالم صاحب</t>
  </si>
  <si>
    <t>حلقہ جناح گارڈن</t>
  </si>
  <si>
    <t>61101-9073540-1</t>
  </si>
  <si>
    <t>0333 5102457</t>
  </si>
  <si>
    <t>ملک عبدالعزیز صاحب</t>
  </si>
  <si>
    <t>ارسلان عزیز صاحب</t>
  </si>
  <si>
    <t>37405-2232490-1</t>
  </si>
  <si>
    <t>انٹرمیڈیٹ</t>
  </si>
  <si>
    <t>000040118</t>
  </si>
  <si>
    <t>0333 1701413
0333 1701413</t>
  </si>
  <si>
    <t>ملک عبدالرحمٰن صاحب</t>
  </si>
  <si>
    <t>37405-0444113-9</t>
  </si>
  <si>
    <t>0333 5184801</t>
  </si>
  <si>
    <t>سید سردار شاہ صاحب</t>
  </si>
  <si>
    <t>انوار بخاری صاحب</t>
  </si>
  <si>
    <t>61101-0251505-3</t>
  </si>
  <si>
    <t>کاروبار</t>
  </si>
  <si>
    <t>000112252</t>
  </si>
  <si>
    <t>0332 5410332</t>
  </si>
  <si>
    <t>چوہدری محمد دین صاحب</t>
  </si>
  <si>
    <t>چوہدری مناظر احمد صاحب</t>
  </si>
  <si>
    <t>61101-1824367-9</t>
  </si>
  <si>
    <t>0321 5080856</t>
  </si>
  <si>
    <t>شاہ محمد صاحب</t>
  </si>
  <si>
    <t>حفیظ احمد منصور صاحب</t>
  </si>
  <si>
    <t>61101-1824368-3</t>
  </si>
  <si>
    <t>000054181</t>
  </si>
  <si>
    <t>0300 8504556</t>
  </si>
  <si>
    <t>رفیق احمد وڑایچ صاحب</t>
  </si>
  <si>
    <t>34403-0873922-7</t>
  </si>
  <si>
    <t>ڈپلومہ</t>
  </si>
  <si>
    <t>000078841</t>
  </si>
  <si>
    <t>0345 5860760
0308 5860760</t>
  </si>
  <si>
    <t>بشیر احمد صاحب</t>
  </si>
  <si>
    <t>زاہد تنویر صاحب</t>
  </si>
  <si>
    <t>34301-3692597-1</t>
  </si>
  <si>
    <t>0334 9888000</t>
  </si>
  <si>
    <t>عبدالحی صاحب</t>
  </si>
  <si>
    <t>عبدالقیوم قریشی صاحب</t>
  </si>
  <si>
    <t>37405-9203878-5</t>
  </si>
  <si>
    <t>000080612</t>
  </si>
  <si>
    <t>0333 5175663</t>
  </si>
  <si>
    <t>فاروق احمد صاحب</t>
  </si>
  <si>
    <t>34302-4531980-3</t>
  </si>
  <si>
    <t>B-</t>
  </si>
  <si>
    <t>0321 5305204</t>
  </si>
  <si>
    <t>محمد صادق ظفر صاحب</t>
  </si>
  <si>
    <t>محمد احسن ظفر صاحب</t>
  </si>
  <si>
    <t>61101-1782871-7</t>
  </si>
  <si>
    <t>0345 5096156</t>
  </si>
  <si>
    <t>مرزا عبدالوحید صاحب</t>
  </si>
  <si>
    <t>مرزا عبدالرزاق صاحب</t>
  </si>
  <si>
    <t>33201-1591163-1</t>
  </si>
  <si>
    <t>000026357</t>
  </si>
  <si>
    <t>0321 5051775</t>
  </si>
  <si>
    <t>عبدالمنان صاحب</t>
  </si>
  <si>
    <t>منور احمد صاحب</t>
  </si>
  <si>
    <t>0334 4564416</t>
  </si>
  <si>
    <t>عبداواحد ورک صاحب</t>
  </si>
  <si>
    <t>ناصر احمد ورک صاحب</t>
  </si>
  <si>
    <t>61101-2433993-5</t>
  </si>
  <si>
    <t>000045886</t>
  </si>
  <si>
    <t>0334 5083601</t>
  </si>
  <si>
    <t>چوہدری ظفراحمد صاحب</t>
  </si>
  <si>
    <t xml:space="preserve">نصراللہ حشام صاحب </t>
  </si>
  <si>
    <t>42201-0867864-1</t>
  </si>
  <si>
    <t>0331 8219911</t>
  </si>
  <si>
    <t>قمر الاسلام صاحب</t>
  </si>
  <si>
    <t>فیصل قمر صاحب</t>
  </si>
  <si>
    <t>0330 2864848</t>
  </si>
  <si>
    <t>میاں مراد بخش صاحب</t>
  </si>
  <si>
    <t>غلام محمد صاحب</t>
  </si>
  <si>
    <t>61101-9399989-9</t>
  </si>
  <si>
    <t>0336 5645518</t>
  </si>
  <si>
    <t>محمد حنیف صاحب</t>
  </si>
  <si>
    <t>تنویر احمد صاحب</t>
  </si>
  <si>
    <t>دستخط ذعیم اعلی  ضلع:</t>
  </si>
  <si>
    <t>دستخط ذعیم اعلی / ذعیم مجلس:</t>
  </si>
  <si>
    <t>تاریخ:</t>
  </si>
  <si>
    <t>نصراللہ حشام صاحب</t>
  </si>
  <si>
    <t>چوہدری مناضر احمد صاحب</t>
  </si>
  <si>
    <t>0315 5281772</t>
  </si>
  <si>
    <t>خالد محمود صاحب</t>
  </si>
  <si>
    <t>طاہر وہاب صاحب</t>
  </si>
  <si>
    <t>000030265</t>
  </si>
  <si>
    <t>0332 8021287</t>
  </si>
  <si>
    <t>بشیر احمد ورک صاحب</t>
  </si>
  <si>
    <t>مبشر احمد ورک صاحب</t>
  </si>
  <si>
    <t>قرآن کریم</t>
  </si>
  <si>
    <t>نماز</t>
  </si>
  <si>
    <t>سن پیدائش</t>
  </si>
  <si>
    <t>ولدیت</t>
  </si>
  <si>
    <t>صف اول یا صف دوم</t>
  </si>
  <si>
    <t>تجنید نمبر</t>
  </si>
  <si>
    <t>باترجمہ</t>
  </si>
  <si>
    <t>سادہ</t>
  </si>
  <si>
    <t>ملازمت</t>
  </si>
  <si>
    <t>ریٹاریڈ آفیسر</t>
  </si>
  <si>
    <t>approved</t>
  </si>
  <si>
    <t>D</t>
  </si>
  <si>
    <t>حبیب احمد خان صاحب</t>
  </si>
  <si>
    <t>فاروق احمد خان صاحب</t>
  </si>
  <si>
    <t>عبداواحد صاحب</t>
  </si>
  <si>
    <t>ناصر احمد صاحب</t>
  </si>
  <si>
    <t>مظفراحمد صاحب</t>
  </si>
  <si>
    <t>Matric</t>
  </si>
  <si>
    <t>000153850</t>
  </si>
  <si>
    <t>ملك ناصر محمود صاحب</t>
  </si>
  <si>
    <t>BSc</t>
  </si>
  <si>
    <t>Soan Garden</t>
  </si>
  <si>
    <t>Sr. No</t>
  </si>
  <si>
    <t>Email Address</t>
  </si>
  <si>
    <t>Shoora Tajaweez</t>
  </si>
  <si>
    <t>Physical Address</t>
  </si>
  <si>
    <t>انصار اللہ</t>
  </si>
  <si>
    <t>love4allaman@gmail.com</t>
  </si>
  <si>
    <t>Done</t>
  </si>
  <si>
    <t>Know</t>
  </si>
  <si>
    <t>Arslan.Aziz.Malik@gmail.com</t>
  </si>
  <si>
    <t>https://maps.app.goo.gl/fYtRWTzEhd44MzuU9</t>
  </si>
  <si>
    <t>samarmehdi16@gmail.com</t>
  </si>
  <si>
    <t>https://www.google.com/maps?q=33.5553718,73.1563084</t>
  </si>
  <si>
    <t xml:space="preserve">Street 11 </t>
  </si>
  <si>
    <t>warriech@gmail.com</t>
  </si>
  <si>
    <t>zatwarraich@gmail.com</t>
  </si>
  <si>
    <t>oneandonly_aq@yahoo.com</t>
  </si>
  <si>
    <t>mahsanzafar@gmail.com</t>
  </si>
  <si>
    <t>https://maps.app.goo.gl/qafb1uz4MxmLriz3A?g_st=iw</t>
  </si>
  <si>
    <t>muhammadsalamg@gmail.com</t>
  </si>
  <si>
    <t>raheeltariq660@gmail.com</t>
  </si>
  <si>
    <t>Street No 65</t>
  </si>
  <si>
    <t>munawarhamayoon@gmail.com</t>
  </si>
  <si>
    <t>nasirvirk22@gmail.com</t>
  </si>
  <si>
    <t>https://www.google.com/maps?q=33.5692917,73.1758283</t>
  </si>
  <si>
    <t>hafazatimran1@gmail.com</t>
  </si>
  <si>
    <t>nshasham@gmail.com</t>
  </si>
  <si>
    <t>https://maps.app.goo.gl/at16HYXdh1mLvWQa7</t>
  </si>
  <si>
    <t>nasirmehmoodmalik975@gmail.com</t>
  </si>
  <si>
    <t>faisalqamar07@yahoo.com</t>
  </si>
  <si>
    <t>house 56 st 212</t>
  </si>
  <si>
    <t>aneesahmad124@gmail.com</t>
  </si>
  <si>
    <t>نعیم احمد صاحب</t>
  </si>
  <si>
    <t>naeemahmedi1970@gmail.com</t>
  </si>
  <si>
    <t>خدام</t>
  </si>
  <si>
    <t>بلال احمد طاہرصاحب</t>
  </si>
  <si>
    <t>مبارز احمد صاحب</t>
  </si>
  <si>
    <t>فضل عمرصاحب</t>
  </si>
  <si>
    <t>مبشر احمد منہاس صاحب</t>
  </si>
  <si>
    <t>تصور اقبال صاحب</t>
  </si>
  <si>
    <t>لجنہ</t>
  </si>
  <si>
    <t>ڈاکٹر شازیہ افتخارصاحبہ</t>
  </si>
  <si>
    <t>iram.shazia@gmail.com</t>
  </si>
  <si>
    <t>عفت ندیم صاحبہ</t>
  </si>
  <si>
    <t>ثمرجمیلہ صاحبہ</t>
  </si>
  <si>
    <t>جمیلہ احمد صاحبہ</t>
  </si>
  <si>
    <t>mubashirvirk144@gmail.com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</si>
</sst>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[$-409]d\-mmm\-yy"/>
    <numFmt numFmtId="165" formatCode="_-* #,##0_-;\-* #,##0_-;_-* &quot;-&quot;??_-;_-@"/>
  </numFmts>
  <fonts count="32">
    <font>
      <sz val="10.0"/>
      <color rgb="FF000000"/>
      <name val="Arial"/>
      <scheme val="minor"/>
    </font>
    <font>
      <color theme="1"/>
      <name val="Arial"/>
    </font>
    <font>
      <b/>
      <sz val="16.0"/>
      <color theme="1"/>
      <name val="Noto Nastaliq Urdu"/>
    </font>
    <font/>
    <font>
      <b/>
      <sz val="14.0"/>
      <color theme="1"/>
      <name val="Noto Nastaliq Urdu"/>
    </font>
    <font>
      <sz val="14.0"/>
      <color theme="1"/>
      <name val="Microsoft uighur"/>
    </font>
    <font>
      <sz val="14.0"/>
      <color theme="1"/>
      <name val="Noto Nastaliq Urdu"/>
    </font>
    <font>
      <sz val="14.0"/>
      <color theme="1"/>
      <name val="Arial"/>
    </font>
    <font>
      <color theme="1"/>
      <name val="Arial"/>
      <scheme val="minor"/>
    </font>
    <font>
      <sz val="14.0"/>
      <color theme="1"/>
      <name val="Docs-Noto Nastaliq Urdu"/>
    </font>
    <font>
      <b/>
      <sz val="12.0"/>
      <color theme="1"/>
      <name val="Noto Nastaliq Urdu"/>
    </font>
    <font>
      <sz val="14.0"/>
      <color rgb="FF000000"/>
      <name val="&quot;docs-Noto Nastaliq Urdu&quot;"/>
    </font>
    <font>
      <sz val="11.0"/>
      <color theme="1"/>
      <name val="Noto Nastaliq Urdu"/>
    </font>
    <font>
      <b/>
      <sz val="10.0"/>
      <color theme="1"/>
      <name val="Noto Nastaliq Urdu"/>
    </font>
    <font>
      <color theme="1"/>
      <name val="Noto Nastaliq Urdu"/>
    </font>
    <font>
      <sz val="11.0"/>
      <color theme="1"/>
      <name val="Calibri"/>
    </font>
    <font>
      <sz val="10.0"/>
      <color theme="1"/>
      <name val="Calibri"/>
    </font>
    <font>
      <sz val="14.0"/>
      <color theme="1"/>
      <name val="&quot;microsoft uighur&quot;"/>
    </font>
    <font>
      <sz val="14.0"/>
      <color theme="1"/>
      <name val="Arial"/>
      <scheme val="minor"/>
    </font>
    <font>
      <sz val="14.0"/>
      <color theme="1"/>
      <name val="&quot;Noto Nastaliq Urdu&quot;"/>
    </font>
    <font>
      <sz val="10.0"/>
      <color theme="1"/>
      <name val="Noto Nastaliq Urdu"/>
    </font>
    <font>
      <sz val="10.0"/>
      <color theme="1"/>
      <name val="Arial"/>
      <scheme val="minor"/>
    </font>
    <font>
      <b/>
      <sz val="16.0"/>
      <color theme="1"/>
      <name val="&quot;microsoft uighur&quot;"/>
    </font>
    <font>
      <b/>
      <sz val="10.0"/>
      <color theme="1"/>
      <name val="&quot;microsoft uighur&quot;"/>
    </font>
    <font>
      <b/>
      <sz val="14.0"/>
      <color theme="1"/>
      <name val="Arial"/>
      <scheme val="minor"/>
    </font>
    <font>
      <b/>
      <sz val="12.0"/>
      <color theme="1"/>
      <name val="&quot;microsoft uighur&quot;"/>
    </font>
    <font>
      <sz val="10.0"/>
      <color theme="1"/>
      <name val="&quot;microsoft uighur&quot;"/>
    </font>
    <font>
      <b/>
      <sz val="13.0"/>
      <color theme="1"/>
      <name val="Arial"/>
      <scheme val="minor"/>
    </font>
    <font>
      <b/>
      <sz val="17.0"/>
      <color theme="1"/>
      <name val="Arial"/>
      <scheme val="minor"/>
    </font>
    <font>
      <sz val="13.0"/>
      <color theme="1"/>
      <name val="Arial"/>
      <scheme val="minor"/>
    </font>
    <font>
      <u/>
      <color rgb="FF0000FF"/>
    </font>
    <font>
      <u/>
      <color rgb="FF0000FF"/>
    </font>
  </fonts>
  <fills count="10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B6D7A8"/>
        <bgColor rgb="FFB6D7A8"/>
      </patternFill>
    </fill>
    <fill>
      <patternFill patternType="solid">
        <fgColor rgb="FFFF0000"/>
        <bgColor rgb="FFFF0000"/>
      </patternFill>
    </fill>
    <fill>
      <patternFill patternType="solid">
        <fgColor rgb="FF00FF00"/>
        <bgColor rgb="FF00FF00"/>
      </patternFill>
    </fill>
    <fill>
      <patternFill patternType="solid">
        <fgColor rgb="FFFF9900"/>
        <bgColor rgb="FFFF9900"/>
      </patternFill>
    </fill>
    <fill>
      <patternFill patternType="solid">
        <fgColor theme="0"/>
        <bgColor theme="0"/>
      </patternFill>
    </fill>
    <fill>
      <patternFill patternType="solid">
        <fgColor rgb="FFFFFF00"/>
        <bgColor rgb="FFFFFF00"/>
      </patternFill>
    </fill>
    <fill>
      <patternFill patternType="solid">
        <fgColor rgb="FF93C47D"/>
        <bgColor rgb="FF93C47D"/>
      </patternFill>
    </fill>
  </fills>
  <borders count="12">
    <border/>
    <border>
      <bottom style="medium">
        <color rgb="FF000000"/>
      </bottom>
    </border>
    <border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  <top style="thin">
        <color rgb="FF000000"/>
      </top>
    </border>
    <border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1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1" numFmtId="164" xfId="0" applyAlignment="1" applyFont="1" applyNumberFormat="1">
      <alignment vertical="bottom"/>
    </xf>
    <xf borderId="1" fillId="0" fontId="2" numFmtId="164" xfId="0" applyAlignment="1" applyBorder="1" applyFont="1" applyNumberFormat="1">
      <alignment horizontal="center" vertical="bottom"/>
    </xf>
    <xf borderId="1" fillId="0" fontId="3" numFmtId="0" xfId="0" applyBorder="1" applyFont="1"/>
    <xf borderId="0" fillId="0" fontId="2" numFmtId="0" xfId="0" applyAlignment="1" applyFont="1">
      <alignment horizontal="center" vertical="bottom"/>
    </xf>
    <xf borderId="1" fillId="0" fontId="2" numFmtId="165" xfId="0" applyAlignment="1" applyBorder="1" applyFont="1" applyNumberFormat="1">
      <alignment horizontal="center" vertical="bottom"/>
    </xf>
    <xf borderId="1" fillId="0" fontId="2" numFmtId="0" xfId="0" applyAlignment="1" applyBorder="1" applyFont="1">
      <alignment horizontal="center" vertical="bottom"/>
    </xf>
    <xf borderId="0" fillId="2" fontId="2" numFmtId="0" xfId="0" applyAlignment="1" applyFill="1" applyFont="1">
      <alignment horizontal="center" vertical="bottom"/>
    </xf>
    <xf borderId="2" fillId="0" fontId="1" numFmtId="0" xfId="0" applyAlignment="1" applyBorder="1" applyFont="1">
      <alignment vertical="bottom"/>
    </xf>
    <xf borderId="2" fillId="0" fontId="1" numFmtId="165" xfId="0" applyAlignment="1" applyBorder="1" applyFont="1" applyNumberFormat="1">
      <alignment vertical="bottom"/>
    </xf>
    <xf borderId="2" fillId="0" fontId="1" numFmtId="164" xfId="0" applyAlignment="1" applyBorder="1" applyFont="1" applyNumberFormat="1">
      <alignment vertical="bottom"/>
    </xf>
    <xf borderId="2" fillId="2" fontId="1" numFmtId="0" xfId="0" applyAlignment="1" applyBorder="1" applyFont="1">
      <alignment vertical="bottom"/>
    </xf>
    <xf borderId="3" fillId="0" fontId="4" numFmtId="0" xfId="0" applyAlignment="1" applyBorder="1" applyFont="1">
      <alignment horizontal="center" vertical="center"/>
    </xf>
    <xf borderId="4" fillId="0" fontId="4" numFmtId="0" xfId="0" applyAlignment="1" applyBorder="1" applyFont="1">
      <alignment horizontal="center" vertical="center"/>
    </xf>
    <xf borderId="5" fillId="0" fontId="3" numFmtId="0" xfId="0" applyBorder="1" applyFont="1"/>
    <xf borderId="3" fillId="0" fontId="4" numFmtId="165" xfId="0" applyAlignment="1" applyBorder="1" applyFont="1" applyNumberFormat="1">
      <alignment horizontal="center" vertical="center"/>
    </xf>
    <xf borderId="3" fillId="0" fontId="4" numFmtId="0" xfId="0" applyAlignment="1" applyBorder="1" applyFont="1">
      <alignment horizontal="right" vertical="center"/>
    </xf>
    <xf borderId="3" fillId="2" fontId="4" numFmtId="0" xfId="0" applyAlignment="1" applyBorder="1" applyFont="1">
      <alignment horizontal="right" vertical="center"/>
    </xf>
    <xf borderId="0" fillId="2" fontId="1" numFmtId="0" xfId="0" applyAlignment="1" applyFont="1">
      <alignment vertical="center"/>
    </xf>
    <xf borderId="2" fillId="0" fontId="5" numFmtId="164" xfId="0" applyAlignment="1" applyBorder="1" applyFont="1" applyNumberFormat="1">
      <alignment horizontal="center" vertical="center"/>
    </xf>
    <xf borderId="0" fillId="0" fontId="1" numFmtId="0" xfId="0" applyAlignment="1" applyFont="1">
      <alignment vertical="center"/>
    </xf>
    <xf borderId="3" fillId="0" fontId="5" numFmtId="165" xfId="0" applyAlignment="1" applyBorder="1" applyFont="1" applyNumberFormat="1">
      <alignment vertical="center"/>
    </xf>
    <xf borderId="3" fillId="0" fontId="5" numFmtId="2" xfId="0" applyAlignment="1" applyBorder="1" applyFont="1" applyNumberFormat="1">
      <alignment vertical="center"/>
    </xf>
    <xf borderId="6" fillId="2" fontId="2" numFmtId="0" xfId="0" applyAlignment="1" applyBorder="1" applyFont="1">
      <alignment horizontal="right" readingOrder="0" vertical="center"/>
    </xf>
    <xf borderId="2" fillId="0" fontId="3" numFmtId="0" xfId="0" applyBorder="1" applyFont="1"/>
    <xf borderId="7" fillId="0" fontId="3" numFmtId="0" xfId="0" applyBorder="1" applyFont="1"/>
    <xf borderId="0" fillId="2" fontId="6" numFmtId="0" xfId="0" applyAlignment="1" applyFont="1">
      <alignment horizontal="right" vertical="center"/>
    </xf>
    <xf borderId="2" fillId="0" fontId="7" numFmtId="164" xfId="0" applyAlignment="1" applyBorder="1" applyFont="1" applyNumberFormat="1">
      <alignment horizontal="center" vertical="center"/>
    </xf>
    <xf borderId="3" fillId="0" fontId="5" numFmtId="165" xfId="0" applyAlignment="1" applyBorder="1" applyFont="1" applyNumberFormat="1">
      <alignment horizontal="right" vertical="center"/>
    </xf>
    <xf borderId="3" fillId="0" fontId="5" numFmtId="2" xfId="0" applyAlignment="1" applyBorder="1" applyFont="1" applyNumberFormat="1">
      <alignment horizontal="right" vertical="center"/>
    </xf>
    <xf borderId="8" fillId="2" fontId="7" numFmtId="0" xfId="0" applyAlignment="1" applyBorder="1" applyFont="1">
      <alignment horizontal="center" vertical="center"/>
    </xf>
    <xf borderId="7" fillId="2" fontId="7" numFmtId="0" xfId="0" applyAlignment="1" applyBorder="1" applyFont="1">
      <alignment horizontal="center" vertical="center"/>
    </xf>
    <xf borderId="7" fillId="2" fontId="6" numFmtId="0" xfId="0" applyAlignment="1" applyBorder="1" applyFont="1">
      <alignment horizontal="center" vertical="center"/>
    </xf>
    <xf quotePrefix="1" borderId="7" fillId="2" fontId="7" numFmtId="165" xfId="0" applyAlignment="1" applyBorder="1" applyFont="1" applyNumberFormat="1">
      <alignment horizontal="center" vertical="center"/>
    </xf>
    <xf borderId="2" fillId="2" fontId="7" numFmtId="164" xfId="0" applyAlignment="1" applyBorder="1" applyFont="1" applyNumberFormat="1">
      <alignment horizontal="center" vertical="center"/>
    </xf>
    <xf borderId="3" fillId="0" fontId="7" numFmtId="0" xfId="0" applyAlignment="1" applyBorder="1" applyFont="1">
      <alignment vertical="center"/>
    </xf>
    <xf borderId="7" fillId="2" fontId="6" numFmtId="0" xfId="0" applyAlignment="1" applyBorder="1" applyFont="1">
      <alignment horizontal="right" vertical="center"/>
    </xf>
    <xf borderId="3" fillId="2" fontId="7" numFmtId="0" xfId="0" applyAlignment="1" applyBorder="1" applyFont="1">
      <alignment horizontal="center" vertical="center"/>
    </xf>
    <xf borderId="3" fillId="0" fontId="7" numFmtId="164" xfId="0" applyAlignment="1" applyBorder="1" applyFont="1" applyNumberFormat="1">
      <alignment horizontal="center" readingOrder="0" vertical="center"/>
    </xf>
    <xf borderId="7" fillId="2" fontId="7" numFmtId="165" xfId="0" applyAlignment="1" applyBorder="1" applyFont="1" applyNumberFormat="1">
      <alignment horizontal="center" vertical="center"/>
    </xf>
    <xf borderId="7" fillId="2" fontId="1" numFmtId="165" xfId="0" applyAlignment="1" applyBorder="1" applyFont="1" applyNumberFormat="1">
      <alignment vertical="center"/>
    </xf>
    <xf borderId="3" fillId="2" fontId="6" numFmtId="0" xfId="0" applyAlignment="1" applyBorder="1" applyFont="1">
      <alignment horizontal="center" vertical="center"/>
    </xf>
    <xf quotePrefix="1" borderId="7" fillId="2" fontId="7" numFmtId="0" xfId="0" applyAlignment="1" applyBorder="1" applyFont="1">
      <alignment vertical="center"/>
    </xf>
    <xf quotePrefix="1" borderId="7" fillId="2" fontId="7" numFmtId="0" xfId="0" applyAlignment="1" applyBorder="1" applyFont="1">
      <alignment horizontal="center" vertical="center"/>
    </xf>
    <xf borderId="4" fillId="2" fontId="7" numFmtId="164" xfId="0" applyAlignment="1" applyBorder="1" applyFont="1" applyNumberFormat="1">
      <alignment horizontal="center" vertical="center"/>
    </xf>
    <xf borderId="3" fillId="2" fontId="7" numFmtId="0" xfId="0" applyAlignment="1" applyBorder="1" applyFont="1">
      <alignment horizontal="right" vertical="center"/>
    </xf>
    <xf borderId="5" fillId="2" fontId="6" numFmtId="0" xfId="0" applyAlignment="1" applyBorder="1" applyFont="1">
      <alignment horizontal="right" vertical="center"/>
    </xf>
    <xf borderId="3" fillId="2" fontId="6" numFmtId="0" xfId="0" applyAlignment="1" applyBorder="1" applyFont="1">
      <alignment horizontal="right" vertical="center"/>
    </xf>
    <xf borderId="3" fillId="2" fontId="1" numFmtId="165" xfId="0" applyAlignment="1" applyBorder="1" applyFont="1" applyNumberFormat="1">
      <alignment vertical="center"/>
    </xf>
    <xf borderId="3" fillId="2" fontId="7" numFmtId="0" xfId="0" applyAlignment="1" applyBorder="1" applyFont="1">
      <alignment vertical="center"/>
    </xf>
    <xf quotePrefix="1" borderId="3" fillId="2" fontId="7" numFmtId="0" xfId="0" applyAlignment="1" applyBorder="1" applyFont="1">
      <alignment horizontal="center" vertical="center"/>
    </xf>
    <xf borderId="5" fillId="2" fontId="7" numFmtId="0" xfId="0" applyAlignment="1" applyBorder="1" applyFont="1">
      <alignment horizontal="center" vertical="center"/>
    </xf>
    <xf borderId="5" fillId="2" fontId="6" numFmtId="0" xfId="0" applyAlignment="1" applyBorder="1" applyFont="1">
      <alignment horizontal="center" vertical="center"/>
    </xf>
    <xf borderId="3" fillId="2" fontId="6" numFmtId="165" xfId="0" applyAlignment="1" applyBorder="1" applyFont="1" applyNumberFormat="1">
      <alignment horizontal="center" vertical="center"/>
    </xf>
    <xf borderId="3" fillId="2" fontId="7" numFmtId="164" xfId="0" applyAlignment="1" applyBorder="1" applyFont="1" applyNumberFormat="1">
      <alignment horizontal="center" vertical="center"/>
    </xf>
    <xf borderId="3" fillId="2" fontId="1" numFmtId="0" xfId="0" applyAlignment="1" applyBorder="1" applyFont="1">
      <alignment vertical="center"/>
    </xf>
    <xf borderId="4" fillId="0" fontId="7" numFmtId="164" xfId="0" applyAlignment="1" applyBorder="1" applyFont="1" applyNumberFormat="1">
      <alignment horizontal="center" vertical="center"/>
    </xf>
    <xf borderId="3" fillId="2" fontId="7" numFmtId="0" xfId="0" applyAlignment="1" applyBorder="1" applyFont="1">
      <alignment horizontal="center" vertical="center"/>
    </xf>
    <xf borderId="0" fillId="0" fontId="8" numFmtId="0" xfId="0" applyAlignment="1" applyFont="1">
      <alignment vertical="center"/>
    </xf>
    <xf borderId="7" fillId="2" fontId="6" numFmtId="0" xfId="0" applyAlignment="1" applyBorder="1" applyFont="1">
      <alignment horizontal="center" vertical="center"/>
    </xf>
    <xf borderId="3" fillId="2" fontId="6" numFmtId="0" xfId="0" applyAlignment="1" applyBorder="1" applyFont="1">
      <alignment horizontal="center" vertical="center"/>
    </xf>
    <xf borderId="3" fillId="0" fontId="7" numFmtId="0" xfId="0" applyAlignment="1" applyBorder="1" applyFont="1">
      <alignment horizontal="center" vertical="center"/>
    </xf>
    <xf borderId="3" fillId="2" fontId="6" numFmtId="0" xfId="0" applyAlignment="1" applyBorder="1" applyFont="1">
      <alignment horizontal="right" vertical="center"/>
    </xf>
    <xf borderId="8" fillId="2" fontId="2" numFmtId="0" xfId="0" applyAlignment="1" applyBorder="1" applyFont="1">
      <alignment horizontal="right" readingOrder="0" vertical="center"/>
    </xf>
    <xf borderId="7" fillId="0" fontId="7" numFmtId="164" xfId="0" applyAlignment="1" applyBorder="1" applyFont="1" applyNumberFormat="1">
      <alignment horizontal="center" vertical="center"/>
    </xf>
    <xf borderId="9" fillId="2" fontId="1" numFmtId="0" xfId="0" applyAlignment="1" applyBorder="1" applyFont="1">
      <alignment vertical="center"/>
    </xf>
    <xf borderId="0" fillId="2" fontId="9" numFmtId="0" xfId="0" applyAlignment="1" applyFont="1">
      <alignment horizontal="right" vertical="center"/>
    </xf>
    <xf borderId="7" fillId="2" fontId="7" numFmtId="0" xfId="0" applyAlignment="1" applyBorder="1" applyFont="1">
      <alignment vertical="center"/>
    </xf>
    <xf borderId="7" fillId="2" fontId="1" numFmtId="0" xfId="0" applyAlignment="1" applyBorder="1" applyFont="1">
      <alignment vertical="center"/>
    </xf>
    <xf borderId="5" fillId="2" fontId="7" numFmtId="164" xfId="0" applyAlignment="1" applyBorder="1" applyFont="1" applyNumberFormat="1">
      <alignment horizontal="center" vertical="center"/>
    </xf>
    <xf borderId="5" fillId="0" fontId="7" numFmtId="0" xfId="0" applyAlignment="1" applyBorder="1" applyFont="1">
      <alignment vertical="center"/>
    </xf>
    <xf borderId="0" fillId="0" fontId="1" numFmtId="165" xfId="0" applyAlignment="1" applyFont="1" applyNumberFormat="1">
      <alignment vertical="bottom"/>
    </xf>
    <xf borderId="0" fillId="2" fontId="1" numFmtId="0" xfId="0" applyAlignment="1" applyFont="1">
      <alignment vertical="bottom"/>
    </xf>
    <xf borderId="0" fillId="0" fontId="10" numFmtId="0" xfId="0" applyAlignment="1" applyFont="1">
      <alignment horizontal="center" vertical="bottom"/>
    </xf>
    <xf borderId="0" fillId="2" fontId="10" numFmtId="0" xfId="0" applyAlignment="1" applyFont="1">
      <alignment horizontal="center" vertical="bottom"/>
    </xf>
    <xf borderId="2" fillId="0" fontId="6" numFmtId="164" xfId="0" applyAlignment="1" applyBorder="1" applyFont="1" applyNumberFormat="1">
      <alignment horizontal="center" vertical="bottom"/>
    </xf>
    <xf borderId="0" fillId="2" fontId="6" numFmtId="0" xfId="0" applyAlignment="1" applyFont="1">
      <alignment horizontal="center" vertical="bottom"/>
    </xf>
    <xf borderId="7" fillId="0" fontId="5" numFmtId="165" xfId="0" applyAlignment="1" applyBorder="1" applyFont="1" applyNumberFormat="1">
      <alignment vertical="center"/>
    </xf>
    <xf borderId="0" fillId="0" fontId="5" numFmtId="2" xfId="0" applyAlignment="1" applyFont="1" applyNumberFormat="1">
      <alignment vertical="center"/>
    </xf>
    <xf borderId="7" fillId="0" fontId="5" numFmtId="165" xfId="0" applyAlignment="1" applyBorder="1" applyFont="1" applyNumberFormat="1">
      <alignment horizontal="right" vertical="center"/>
    </xf>
    <xf borderId="0" fillId="0" fontId="5" numFmtId="2" xfId="0" applyAlignment="1" applyFont="1" applyNumberFormat="1">
      <alignment horizontal="right" vertical="center"/>
    </xf>
    <xf borderId="9" fillId="3" fontId="1" numFmtId="0" xfId="0" applyAlignment="1" applyBorder="1" applyFill="1" applyFont="1">
      <alignment vertical="center"/>
    </xf>
    <xf borderId="9" fillId="4" fontId="1" numFmtId="0" xfId="0" applyAlignment="1" applyBorder="1" applyFill="1" applyFont="1">
      <alignment vertical="center"/>
    </xf>
    <xf borderId="3" fillId="0" fontId="7" numFmtId="164" xfId="0" applyAlignment="1" applyBorder="1" applyFont="1" applyNumberFormat="1">
      <alignment horizontal="center" vertical="center"/>
    </xf>
    <xf borderId="1" fillId="0" fontId="2" numFmtId="164" xfId="0" applyAlignment="1" applyBorder="1" applyFont="1" applyNumberFormat="1">
      <alignment horizontal="center" readingOrder="0" vertical="bottom"/>
    </xf>
    <xf borderId="0" fillId="0" fontId="1" numFmtId="0" xfId="0" applyFont="1"/>
    <xf borderId="0" fillId="2" fontId="11" numFmtId="0" xfId="0" applyAlignment="1" applyFont="1">
      <alignment horizontal="right" readingOrder="0"/>
    </xf>
    <xf borderId="9" fillId="5" fontId="1" numFmtId="0" xfId="0" applyAlignment="1" applyBorder="1" applyFill="1" applyFont="1">
      <alignment vertical="center"/>
    </xf>
    <xf borderId="0" fillId="0" fontId="1" numFmtId="164" xfId="0" applyFont="1" applyNumberFormat="1"/>
    <xf borderId="0" fillId="2" fontId="8" numFmtId="0" xfId="0" applyFont="1"/>
    <xf borderId="0" fillId="0" fontId="12" numFmtId="0" xfId="0" applyFont="1"/>
    <xf borderId="1" fillId="0" fontId="2" numFmtId="164" xfId="0" applyAlignment="1" applyBorder="1" applyFont="1" applyNumberFormat="1">
      <alignment horizontal="center"/>
    </xf>
    <xf borderId="0" fillId="0" fontId="2" numFmtId="0" xfId="0" applyAlignment="1" applyFont="1">
      <alignment horizontal="center"/>
    </xf>
    <xf borderId="1" fillId="0" fontId="2" numFmtId="165" xfId="0" applyAlignment="1" applyBorder="1" applyFont="1" applyNumberFormat="1">
      <alignment horizontal="center"/>
    </xf>
    <xf borderId="0" fillId="0" fontId="13" numFmtId="0" xfId="0" applyAlignment="1" applyFont="1">
      <alignment horizontal="center" vertical="center"/>
    </xf>
    <xf borderId="1" fillId="0" fontId="2" numFmtId="0" xfId="0" applyAlignment="1" applyBorder="1" applyFont="1">
      <alignment horizontal="center"/>
    </xf>
    <xf borderId="0" fillId="0" fontId="12" numFmtId="0" xfId="0" applyAlignment="1" applyFont="1">
      <alignment vertical="bottom"/>
    </xf>
    <xf borderId="0" fillId="0" fontId="12" numFmtId="164" xfId="0" applyFont="1" applyNumberFormat="1"/>
    <xf borderId="0" fillId="0" fontId="14" numFmtId="0" xfId="0" applyFont="1"/>
    <xf borderId="2" fillId="0" fontId="15" numFmtId="0" xfId="0" applyBorder="1" applyFont="1"/>
    <xf borderId="2" fillId="0" fontId="15" numFmtId="165" xfId="0" applyBorder="1" applyFont="1" applyNumberFormat="1"/>
    <xf borderId="2" fillId="0" fontId="15" numFmtId="164" xfId="0" applyBorder="1" applyFont="1" applyNumberFormat="1"/>
    <xf borderId="0" fillId="0" fontId="16" numFmtId="0" xfId="0" applyAlignment="1" applyFont="1">
      <alignment vertical="center"/>
    </xf>
    <xf borderId="0" fillId="0" fontId="15" numFmtId="0" xfId="0" applyAlignment="1" applyFont="1">
      <alignment vertical="bottom"/>
    </xf>
    <xf borderId="3" fillId="0" fontId="4" numFmtId="0" xfId="0" applyAlignment="1" applyBorder="1" applyFont="1">
      <alignment horizontal="center" readingOrder="0" vertical="center"/>
    </xf>
    <xf borderId="4" fillId="0" fontId="4" numFmtId="0" xfId="0" applyAlignment="1" applyBorder="1" applyFont="1">
      <alignment horizontal="center" readingOrder="0" vertical="center"/>
    </xf>
    <xf borderId="3" fillId="0" fontId="4" numFmtId="0" xfId="0" applyAlignment="1" applyBorder="1" applyFont="1">
      <alignment horizontal="right" readingOrder="0" vertical="center"/>
    </xf>
    <xf borderId="0" fillId="0" fontId="15" numFmtId="0" xfId="0" applyAlignment="1" applyFont="1">
      <alignment readingOrder="0" vertical="center"/>
    </xf>
    <xf borderId="2" fillId="0" fontId="17" numFmtId="164" xfId="0" applyAlignment="1" applyBorder="1" applyFont="1" applyNumberFormat="1">
      <alignment horizontal="center" shrinkToFit="0" vertical="center" wrapText="0"/>
    </xf>
    <xf borderId="7" fillId="0" fontId="17" numFmtId="165" xfId="0" applyAlignment="1" applyBorder="1" applyFont="1" applyNumberFormat="1">
      <alignment vertical="center"/>
    </xf>
    <xf borderId="0" fillId="0" fontId="17" numFmtId="2" xfId="0" applyAlignment="1" applyFont="1" applyNumberFormat="1">
      <alignment shrinkToFit="0" vertical="center" wrapText="0"/>
    </xf>
    <xf borderId="0" fillId="0" fontId="15" numFmtId="0" xfId="0" applyAlignment="1" applyFont="1">
      <alignment vertical="center"/>
    </xf>
    <xf borderId="8" fillId="2" fontId="18" numFmtId="0" xfId="0" applyAlignment="1" applyBorder="1" applyFont="1">
      <alignment horizontal="center" vertical="center"/>
    </xf>
    <xf borderId="7" fillId="2" fontId="18" numFmtId="0" xfId="0" applyAlignment="1" applyBorder="1" applyFont="1">
      <alignment horizontal="center" vertical="center"/>
    </xf>
    <xf borderId="7" fillId="2" fontId="6" numFmtId="0" xfId="0" applyAlignment="1" applyBorder="1" applyFont="1">
      <alignment horizontal="center" readingOrder="0" vertical="center"/>
    </xf>
    <xf quotePrefix="1" borderId="7" fillId="2" fontId="18" numFmtId="165" xfId="0" applyAlignment="1" applyBorder="1" applyFont="1" applyNumberFormat="1">
      <alignment horizontal="center" vertical="center"/>
    </xf>
    <xf borderId="7" fillId="2" fontId="18" numFmtId="0" xfId="0" applyAlignment="1" applyBorder="1" applyFont="1">
      <alignment horizontal="center" readingOrder="0" vertical="center"/>
    </xf>
    <xf borderId="2" fillId="2" fontId="18" numFmtId="164" xfId="0" applyAlignment="1" applyBorder="1" applyFont="1" applyNumberFormat="1">
      <alignment horizontal="center" vertical="center"/>
    </xf>
    <xf borderId="3" fillId="0" fontId="18" numFmtId="0" xfId="0" applyAlignment="1" applyBorder="1" applyFont="1">
      <alignment readingOrder="0" vertical="center"/>
    </xf>
    <xf borderId="7" fillId="2" fontId="6" numFmtId="0" xfId="0" applyAlignment="1" applyBorder="1" applyFont="1">
      <alignment horizontal="right" readingOrder="0" vertical="center"/>
    </xf>
    <xf borderId="3" fillId="2" fontId="18" numFmtId="0" xfId="0" applyAlignment="1" applyBorder="1" applyFont="1">
      <alignment horizontal="center" vertical="center"/>
    </xf>
    <xf borderId="9" fillId="2" fontId="15" numFmtId="0" xfId="0" applyAlignment="1" applyBorder="1" applyFont="1">
      <alignment readingOrder="0" vertical="center"/>
    </xf>
    <xf borderId="7" fillId="0" fontId="7" numFmtId="164" xfId="0" applyAlignment="1" applyBorder="1" applyFont="1" applyNumberFormat="1">
      <alignment horizontal="center" readingOrder="0" vertical="center"/>
    </xf>
    <xf borderId="7" fillId="0" fontId="17" numFmtId="165" xfId="0" applyAlignment="1" applyBorder="1" applyFont="1" applyNumberFormat="1">
      <alignment horizontal="right" vertical="center"/>
    </xf>
    <xf borderId="0" fillId="0" fontId="17" numFmtId="2" xfId="0" applyAlignment="1" applyFont="1" applyNumberFormat="1">
      <alignment horizontal="right" vertical="center"/>
    </xf>
    <xf borderId="7" fillId="2" fontId="18" numFmtId="165" xfId="0" applyAlignment="1" applyBorder="1" applyFont="1" applyNumberFormat="1">
      <alignment horizontal="center" vertical="center"/>
    </xf>
    <xf borderId="7" fillId="2" fontId="6" numFmtId="0" xfId="0" applyAlignment="1" applyBorder="1" applyFont="1">
      <alignment horizontal="center" readingOrder="0" shrinkToFit="0" vertical="center" wrapText="0"/>
    </xf>
    <xf borderId="2" fillId="2" fontId="18" numFmtId="164" xfId="0" applyAlignment="1" applyBorder="1" applyFont="1" applyNumberFormat="1">
      <alignment horizontal="center" readingOrder="0" vertical="center"/>
    </xf>
    <xf borderId="9" fillId="0" fontId="15" numFmtId="0" xfId="0" applyAlignment="1" applyBorder="1" applyFont="1">
      <alignment readingOrder="0" vertical="center"/>
    </xf>
    <xf borderId="7" fillId="2" fontId="18" numFmtId="165" xfId="0" applyAlignment="1" applyBorder="1" applyFont="1" applyNumberFormat="1">
      <alignment vertical="center"/>
    </xf>
    <xf borderId="3" fillId="0" fontId="18" numFmtId="0" xfId="0" applyAlignment="1" applyBorder="1" applyFont="1">
      <alignment vertical="center"/>
    </xf>
    <xf quotePrefix="1" borderId="7" fillId="2" fontId="18" numFmtId="0" xfId="0" applyAlignment="1" applyBorder="1" applyFont="1">
      <alignment readingOrder="0" vertical="center"/>
    </xf>
    <xf borderId="7" fillId="2" fontId="18" numFmtId="0" xfId="0" applyAlignment="1" applyBorder="1" applyFont="1">
      <alignment vertical="center"/>
    </xf>
    <xf borderId="3" fillId="2" fontId="6" numFmtId="0" xfId="0" applyAlignment="1" applyBorder="1" applyFont="1">
      <alignment horizontal="center" readingOrder="0" vertical="center"/>
    </xf>
    <xf quotePrefix="1" borderId="7" fillId="2" fontId="18" numFmtId="0" xfId="0" applyAlignment="1" applyBorder="1" applyFont="1">
      <alignment horizontal="center" readingOrder="0" vertical="center"/>
    </xf>
    <xf borderId="3" fillId="2" fontId="6" numFmtId="0" xfId="0" applyAlignment="1" applyBorder="1" applyFont="1">
      <alignment horizontal="center" shrinkToFit="0" vertical="center" wrapText="0"/>
    </xf>
    <xf borderId="3" fillId="2" fontId="18" numFmtId="0" xfId="0" applyAlignment="1" applyBorder="1" applyFont="1">
      <alignment horizontal="right" readingOrder="0" vertical="center"/>
    </xf>
    <xf borderId="3" fillId="2" fontId="18" numFmtId="0" xfId="0" applyAlignment="1" applyBorder="1" applyFont="1">
      <alignment horizontal="center" vertical="center"/>
    </xf>
    <xf borderId="3" fillId="2" fontId="18" numFmtId="165" xfId="0" applyAlignment="1" applyBorder="1" applyFont="1" applyNumberFormat="1">
      <alignment vertical="center"/>
    </xf>
    <xf borderId="4" fillId="2" fontId="18" numFmtId="164" xfId="0" applyAlignment="1" applyBorder="1" applyFont="1" applyNumberFormat="1">
      <alignment horizontal="center" readingOrder="0" vertical="center"/>
    </xf>
    <xf borderId="5" fillId="2" fontId="6" numFmtId="0" xfId="0" applyAlignment="1" applyBorder="1" applyFont="1">
      <alignment horizontal="right" readingOrder="0" vertical="center"/>
    </xf>
    <xf borderId="3" fillId="2" fontId="6" numFmtId="0" xfId="0" applyAlignment="1" applyBorder="1" applyFont="1">
      <alignment horizontal="right" readingOrder="0" vertical="center"/>
    </xf>
    <xf borderId="3" fillId="2" fontId="18" numFmtId="0" xfId="0" applyAlignment="1" applyBorder="1" applyFont="1">
      <alignment horizontal="center" readingOrder="0" vertical="center"/>
    </xf>
    <xf borderId="4" fillId="2" fontId="18" numFmtId="164" xfId="0" applyAlignment="1" applyBorder="1" applyFont="1" applyNumberFormat="1">
      <alignment horizontal="center" vertical="center"/>
    </xf>
    <xf borderId="3" fillId="2" fontId="18" numFmtId="0" xfId="0" applyAlignment="1" applyBorder="1" applyFont="1">
      <alignment readingOrder="0" shrinkToFit="0" vertical="center" wrapText="0"/>
    </xf>
    <xf borderId="5" fillId="2" fontId="6" numFmtId="0" xfId="0" applyAlignment="1" applyBorder="1" applyFont="1">
      <alignment readingOrder="0" shrinkToFit="0" vertical="center" wrapText="0"/>
    </xf>
    <xf borderId="3" fillId="2" fontId="18" numFmtId="0" xfId="0" applyAlignment="1" applyBorder="1" applyFont="1">
      <alignment readingOrder="0" vertical="center"/>
    </xf>
    <xf borderId="5" fillId="2" fontId="6" numFmtId="0" xfId="0" applyAlignment="1" applyBorder="1" applyFont="1">
      <alignment readingOrder="0" vertical="center"/>
    </xf>
    <xf borderId="3" fillId="2" fontId="6" numFmtId="0" xfId="0" applyAlignment="1" applyBorder="1" applyFont="1">
      <alignment readingOrder="0" vertical="center"/>
    </xf>
    <xf quotePrefix="1" borderId="3" fillId="2" fontId="18" numFmtId="0" xfId="0" applyAlignment="1" applyBorder="1" applyFont="1">
      <alignment horizontal="center" readingOrder="0" vertical="center"/>
    </xf>
    <xf borderId="3" fillId="2" fontId="6" numFmtId="0" xfId="0" applyAlignment="1" applyBorder="1" applyFont="1">
      <alignment horizontal="center" readingOrder="0" vertical="center"/>
    </xf>
    <xf borderId="4" fillId="0" fontId="18" numFmtId="164" xfId="0" applyAlignment="1" applyBorder="1" applyFont="1" applyNumberFormat="1">
      <alignment horizontal="center" readingOrder="0" vertical="center"/>
    </xf>
    <xf borderId="5" fillId="2" fontId="7" numFmtId="0" xfId="0" applyAlignment="1" applyBorder="1" applyFont="1">
      <alignment horizontal="center" vertical="center"/>
    </xf>
    <xf borderId="5" fillId="2" fontId="19" numFmtId="0" xfId="0" applyAlignment="1" applyBorder="1" applyFont="1">
      <alignment horizontal="center" vertical="center"/>
    </xf>
    <xf borderId="5" fillId="2" fontId="19" numFmtId="0" xfId="0" applyAlignment="1" applyBorder="1" applyFont="1">
      <alignment horizontal="center" readingOrder="0" vertical="center"/>
    </xf>
    <xf borderId="5" fillId="2" fontId="19" numFmtId="0" xfId="0" applyAlignment="1" applyBorder="1" applyFont="1">
      <alignment horizontal="center" vertical="center"/>
    </xf>
    <xf borderId="5" fillId="0" fontId="7" numFmtId="0" xfId="0" applyAlignment="1" applyBorder="1" applyFont="1">
      <alignment vertical="center"/>
    </xf>
    <xf borderId="5" fillId="2" fontId="19" numFmtId="0" xfId="0" applyAlignment="1" applyBorder="1" applyFont="1">
      <alignment horizontal="right" readingOrder="0" vertical="center"/>
    </xf>
    <xf borderId="5" fillId="2" fontId="1" numFmtId="0" xfId="0" applyAlignment="1" applyBorder="1" applyFont="1">
      <alignment vertical="center"/>
    </xf>
    <xf borderId="5" fillId="2" fontId="19" numFmtId="0" xfId="0" applyAlignment="1" applyBorder="1" applyFont="1">
      <alignment horizontal="center" readingOrder="0" vertical="center"/>
    </xf>
    <xf borderId="3" fillId="0" fontId="7" numFmtId="0" xfId="0" applyAlignment="1" applyBorder="1" applyFont="1">
      <alignment readingOrder="0" vertical="center"/>
    </xf>
    <xf borderId="0" fillId="0" fontId="12" numFmtId="165" xfId="0" applyFont="1" applyNumberFormat="1"/>
    <xf borderId="0" fillId="0" fontId="20" numFmtId="0" xfId="0" applyAlignment="1" applyFont="1">
      <alignment vertical="center"/>
    </xf>
    <xf borderId="2" fillId="0" fontId="14" numFmtId="0" xfId="0" applyBorder="1" applyFont="1"/>
    <xf borderId="0" fillId="0" fontId="10" numFmtId="0" xfId="0" applyAlignment="1" applyFont="1">
      <alignment horizontal="center"/>
    </xf>
    <xf borderId="0" fillId="0" fontId="20" numFmtId="164" xfId="0" applyAlignment="1" applyFont="1" applyNumberFormat="1">
      <alignment horizontal="center" vertical="center"/>
    </xf>
    <xf borderId="2" fillId="0" fontId="6" numFmtId="164" xfId="0" applyAlignment="1" applyBorder="1" applyFont="1" applyNumberFormat="1">
      <alignment horizontal="center"/>
    </xf>
    <xf borderId="0" fillId="0" fontId="6" numFmtId="0" xfId="0" applyAlignment="1" applyFont="1">
      <alignment horizontal="center"/>
    </xf>
    <xf borderId="5" fillId="0" fontId="7" numFmtId="0" xfId="0" applyAlignment="1" applyBorder="1" applyFont="1">
      <alignment readingOrder="0" vertical="center"/>
    </xf>
    <xf borderId="7" fillId="5" fontId="6" numFmtId="0" xfId="0" applyAlignment="1" applyBorder="1" applyFont="1">
      <alignment horizontal="center" vertical="center"/>
    </xf>
    <xf borderId="7" fillId="6" fontId="6" numFmtId="0" xfId="0" applyAlignment="1" applyBorder="1" applyFill="1" applyFont="1">
      <alignment horizontal="center" vertical="center"/>
    </xf>
    <xf borderId="3" fillId="5" fontId="6" numFmtId="0" xfId="0" applyAlignment="1" applyBorder="1" applyFont="1">
      <alignment horizontal="center" vertical="center"/>
    </xf>
    <xf borderId="0" fillId="0" fontId="21" numFmtId="0" xfId="0" applyAlignment="1" applyFont="1">
      <alignment vertical="center"/>
    </xf>
    <xf borderId="0" fillId="0" fontId="15" numFmtId="0" xfId="0" applyFont="1"/>
    <xf borderId="1" fillId="0" fontId="22" numFmtId="164" xfId="0" applyAlignment="1" applyBorder="1" applyFont="1" applyNumberFormat="1">
      <alignment horizontal="center"/>
    </xf>
    <xf borderId="0" fillId="0" fontId="22" numFmtId="0" xfId="0" applyAlignment="1" applyFont="1">
      <alignment horizontal="center"/>
    </xf>
    <xf borderId="1" fillId="0" fontId="22" numFmtId="165" xfId="0" applyAlignment="1" applyBorder="1" applyFont="1" applyNumberFormat="1">
      <alignment horizontal="center"/>
    </xf>
    <xf borderId="0" fillId="0" fontId="23" numFmtId="0" xfId="0" applyAlignment="1" applyFont="1">
      <alignment horizontal="center" vertical="center"/>
    </xf>
    <xf borderId="1" fillId="0" fontId="22" numFmtId="0" xfId="0" applyAlignment="1" applyBorder="1" applyFont="1">
      <alignment horizontal="center"/>
    </xf>
    <xf borderId="0" fillId="0" fontId="15" numFmtId="164" xfId="0" applyFont="1" applyNumberFormat="1"/>
    <xf borderId="8" fillId="0" fontId="24" numFmtId="0" xfId="0" applyAlignment="1" applyBorder="1" applyFont="1">
      <alignment horizontal="center"/>
    </xf>
    <xf borderId="7" fillId="0" fontId="24" numFmtId="0" xfId="0" applyAlignment="1" applyBorder="1" applyFont="1">
      <alignment horizontal="center"/>
    </xf>
    <xf borderId="2" fillId="0" fontId="24" numFmtId="0" xfId="0" applyAlignment="1" applyBorder="1" applyFont="1">
      <alignment horizontal="center"/>
    </xf>
    <xf borderId="2" fillId="0" fontId="24" numFmtId="0" xfId="0" applyAlignment="1" applyBorder="1" applyFont="1">
      <alignment horizontal="center" vertical="bottom"/>
    </xf>
    <xf borderId="7" fillId="0" fontId="24" numFmtId="165" xfId="0" applyAlignment="1" applyBorder="1" applyFont="1" applyNumberFormat="1">
      <alignment horizontal="center"/>
    </xf>
    <xf borderId="2" fillId="0" fontId="24" numFmtId="164" xfId="0" applyAlignment="1" applyBorder="1" applyFont="1" applyNumberFormat="1">
      <alignment horizontal="center"/>
    </xf>
    <xf borderId="3" fillId="0" fontId="24" numFmtId="0" xfId="0" applyAlignment="1" applyBorder="1" applyFont="1">
      <alignment horizontal="right" readingOrder="0" vertical="center"/>
    </xf>
    <xf borderId="7" fillId="0" fontId="24" numFmtId="0" xfId="0" applyAlignment="1" applyBorder="1" applyFont="1">
      <alignment horizontal="right"/>
    </xf>
    <xf borderId="0" fillId="0" fontId="15" numFmtId="0" xfId="0" applyAlignment="1" applyFont="1">
      <alignment readingOrder="0" vertical="bottom"/>
    </xf>
    <xf borderId="2" fillId="0" fontId="17" numFmtId="164" xfId="0" applyAlignment="1" applyBorder="1" applyFont="1" applyNumberFormat="1">
      <alignment horizontal="center" shrinkToFit="0" wrapText="0"/>
    </xf>
    <xf borderId="7" fillId="0" fontId="17" numFmtId="165" xfId="0" applyAlignment="1" applyBorder="1" applyFont="1" applyNumberFormat="1">
      <alignment vertical="bottom"/>
    </xf>
    <xf borderId="0" fillId="0" fontId="17" numFmtId="2" xfId="0" applyAlignment="1" applyFont="1" applyNumberFormat="1">
      <alignment shrinkToFit="0" vertical="bottom" wrapText="0"/>
    </xf>
    <xf borderId="8" fillId="2" fontId="18" numFmtId="0" xfId="0" applyAlignment="1" applyBorder="1" applyFont="1">
      <alignment horizontal="center"/>
    </xf>
    <xf borderId="7" fillId="2" fontId="18" numFmtId="0" xfId="0" applyAlignment="1" applyBorder="1" applyFont="1">
      <alignment horizontal="center"/>
    </xf>
    <xf quotePrefix="1" borderId="7" fillId="2" fontId="18" numFmtId="165" xfId="0" applyAlignment="1" applyBorder="1" applyFont="1" applyNumberFormat="1">
      <alignment horizontal="center"/>
    </xf>
    <xf borderId="7" fillId="2" fontId="18" numFmtId="0" xfId="0" applyAlignment="1" applyBorder="1" applyFont="1">
      <alignment horizontal="center" readingOrder="0"/>
    </xf>
    <xf borderId="2" fillId="2" fontId="18" numFmtId="164" xfId="0" applyAlignment="1" applyBorder="1" applyFont="1" applyNumberFormat="1">
      <alignment horizontal="center"/>
    </xf>
    <xf borderId="7" fillId="2" fontId="18" numFmtId="0" xfId="0" applyAlignment="1" applyBorder="1" applyFont="1">
      <alignment horizontal="right" readingOrder="0"/>
    </xf>
    <xf borderId="3" fillId="2" fontId="18" numFmtId="0" xfId="0" applyAlignment="1" applyBorder="1" applyFont="1">
      <alignment horizontal="center"/>
    </xf>
    <xf borderId="9" fillId="2" fontId="15" numFmtId="0" xfId="0" applyAlignment="1" applyBorder="1" applyFont="1">
      <alignment readingOrder="0" vertical="bottom"/>
    </xf>
    <xf borderId="7" fillId="0" fontId="7" numFmtId="164" xfId="0" applyAlignment="1" applyBorder="1" applyFont="1" applyNumberFormat="1">
      <alignment horizontal="center" readingOrder="0"/>
    </xf>
    <xf borderId="7" fillId="0" fontId="17" numFmtId="165" xfId="0" applyAlignment="1" applyBorder="1" applyFont="1" applyNumberFormat="1">
      <alignment horizontal="right" vertical="bottom"/>
    </xf>
    <xf borderId="0" fillId="0" fontId="17" numFmtId="2" xfId="0" applyAlignment="1" applyFont="1" applyNumberFormat="1">
      <alignment horizontal="right" vertical="bottom"/>
    </xf>
    <xf borderId="2" fillId="2" fontId="18" numFmtId="164" xfId="0" applyAlignment="1" applyBorder="1" applyFont="1" applyNumberFormat="1">
      <alignment horizontal="center" readingOrder="0"/>
    </xf>
    <xf borderId="7" fillId="2" fontId="18" numFmtId="165" xfId="0" applyAlignment="1" applyBorder="1" applyFont="1" applyNumberFormat="1">
      <alignment horizontal="center"/>
    </xf>
    <xf borderId="7" fillId="2" fontId="18" numFmtId="0" xfId="0" applyAlignment="1" applyBorder="1" applyFont="1">
      <alignment horizontal="center" shrinkToFit="0" wrapText="0"/>
    </xf>
    <xf borderId="9" fillId="0" fontId="15" numFmtId="0" xfId="0" applyAlignment="1" applyBorder="1" applyFont="1">
      <alignment readingOrder="0" vertical="bottom"/>
    </xf>
    <xf borderId="7" fillId="2" fontId="18" numFmtId="165" xfId="0" applyBorder="1" applyFont="1" applyNumberFormat="1"/>
    <xf quotePrefix="1" borderId="7" fillId="2" fontId="18" numFmtId="0" xfId="0" applyAlignment="1" applyBorder="1" applyFont="1">
      <alignment readingOrder="0"/>
    </xf>
    <xf borderId="7" fillId="2" fontId="18" numFmtId="0" xfId="0" applyBorder="1" applyFont="1"/>
    <xf quotePrefix="1" borderId="7" fillId="2" fontId="18" numFmtId="0" xfId="0" applyAlignment="1" applyBorder="1" applyFont="1">
      <alignment horizontal="center" readingOrder="0"/>
    </xf>
    <xf borderId="2" fillId="2" fontId="18" numFmtId="0" xfId="0" applyAlignment="1" applyBorder="1" applyFont="1">
      <alignment horizontal="center" shrinkToFit="0" wrapText="0"/>
    </xf>
    <xf borderId="3" fillId="2" fontId="18" numFmtId="0" xfId="0" applyAlignment="1" applyBorder="1" applyFont="1">
      <alignment horizontal="center"/>
    </xf>
    <xf borderId="3" fillId="2" fontId="18" numFmtId="0" xfId="0" applyAlignment="1" applyBorder="1" applyFont="1">
      <alignment horizontal="center" shrinkToFit="0" wrapText="0"/>
    </xf>
    <xf borderId="3" fillId="2" fontId="18" numFmtId="165" xfId="0" applyBorder="1" applyFont="1" applyNumberFormat="1"/>
    <xf borderId="4" fillId="2" fontId="18" numFmtId="164" xfId="0" applyAlignment="1" applyBorder="1" applyFont="1" applyNumberFormat="1">
      <alignment horizontal="center" readingOrder="0"/>
    </xf>
    <xf borderId="5" fillId="2" fontId="18" numFmtId="0" xfId="0" applyAlignment="1" applyBorder="1" applyFont="1">
      <alignment horizontal="right" readingOrder="0"/>
    </xf>
    <xf borderId="3" fillId="2" fontId="18" numFmtId="0" xfId="0" applyAlignment="1" applyBorder="1" applyFont="1">
      <alignment horizontal="right" readingOrder="0"/>
    </xf>
    <xf borderId="3" fillId="2" fontId="18" numFmtId="0" xfId="0" applyAlignment="1" applyBorder="1" applyFont="1">
      <alignment horizontal="center" readingOrder="0"/>
    </xf>
    <xf borderId="4" fillId="2" fontId="18" numFmtId="164" xfId="0" applyAlignment="1" applyBorder="1" applyFont="1" applyNumberFormat="1">
      <alignment horizontal="center"/>
    </xf>
    <xf borderId="5" fillId="2" fontId="18" numFmtId="0" xfId="0" applyAlignment="1" applyBorder="1" applyFont="1">
      <alignment readingOrder="0" shrinkToFit="0" wrapText="0"/>
    </xf>
    <xf borderId="5" fillId="2" fontId="18" numFmtId="0" xfId="0" applyAlignment="1" applyBorder="1" applyFont="1">
      <alignment readingOrder="0"/>
    </xf>
    <xf borderId="3" fillId="2" fontId="18" numFmtId="0" xfId="0" applyAlignment="1" applyBorder="1" applyFont="1">
      <alignment horizontal="right"/>
    </xf>
    <xf borderId="3" fillId="2" fontId="18" numFmtId="0" xfId="0" applyAlignment="1" applyBorder="1" applyFont="1">
      <alignment readingOrder="0"/>
    </xf>
    <xf quotePrefix="1" borderId="3" fillId="2" fontId="18" numFmtId="0" xfId="0" applyAlignment="1" applyBorder="1" applyFont="1">
      <alignment horizontal="center" readingOrder="0"/>
    </xf>
    <xf borderId="3" fillId="2" fontId="18" numFmtId="0" xfId="0" applyAlignment="1" applyBorder="1" applyFont="1">
      <alignment horizontal="center" readingOrder="0"/>
    </xf>
    <xf borderId="7" fillId="0" fontId="18" numFmtId="0" xfId="0" applyAlignment="1" applyBorder="1" applyFont="1">
      <alignment horizontal="center"/>
    </xf>
    <xf borderId="4" fillId="0" fontId="18" numFmtId="164" xfId="0" applyAlignment="1" applyBorder="1" applyFont="1" applyNumberFormat="1">
      <alignment horizontal="center" readingOrder="0"/>
    </xf>
    <xf borderId="3" fillId="2" fontId="7" numFmtId="0" xfId="0" applyAlignment="1" applyBorder="1" applyFont="1">
      <alignment horizontal="right" readingOrder="0" vertical="center"/>
    </xf>
    <xf borderId="5" fillId="2" fontId="7" numFmtId="0" xfId="0" applyAlignment="1" applyBorder="1" applyFont="1">
      <alignment horizontal="right" readingOrder="0" vertical="bottom"/>
    </xf>
    <xf borderId="0" fillId="0" fontId="15" numFmtId="165" xfId="0" applyFont="1" applyNumberFormat="1"/>
    <xf borderId="2" fillId="0" fontId="8" numFmtId="0" xfId="0" applyBorder="1" applyFont="1"/>
    <xf borderId="0" fillId="0" fontId="25" numFmtId="0" xfId="0" applyAlignment="1" applyFont="1">
      <alignment horizontal="center"/>
    </xf>
    <xf borderId="0" fillId="0" fontId="26" numFmtId="164" xfId="0" applyAlignment="1" applyFont="1" applyNumberFormat="1">
      <alignment horizontal="center" vertical="center"/>
    </xf>
    <xf borderId="2" fillId="0" fontId="17" numFmtId="164" xfId="0" applyAlignment="1" applyBorder="1" applyFont="1" applyNumberFormat="1">
      <alignment horizontal="center"/>
    </xf>
    <xf borderId="0" fillId="0" fontId="17" numFmtId="0" xfId="0" applyAlignment="1" applyFont="1">
      <alignment horizontal="center"/>
    </xf>
    <xf borderId="7" fillId="0" fontId="24" numFmtId="164" xfId="0" applyAlignment="1" applyBorder="1" applyFont="1" applyNumberFormat="1">
      <alignment horizontal="center"/>
    </xf>
    <xf borderId="7" fillId="2" fontId="18" numFmtId="164" xfId="0" applyAlignment="1" applyBorder="1" applyFont="1" applyNumberFormat="1">
      <alignment horizontal="center"/>
    </xf>
    <xf borderId="7" fillId="2" fontId="18" numFmtId="164" xfId="0" applyAlignment="1" applyBorder="1" applyFont="1" applyNumberFormat="1">
      <alignment horizontal="center" readingOrder="0"/>
    </xf>
    <xf borderId="3" fillId="2" fontId="18" numFmtId="164" xfId="0" applyAlignment="1" applyBorder="1" applyFont="1" applyNumberFormat="1">
      <alignment horizontal="center" readingOrder="0"/>
    </xf>
    <xf borderId="3" fillId="2" fontId="18" numFmtId="164" xfId="0" applyAlignment="1" applyBorder="1" applyFont="1" applyNumberFormat="1">
      <alignment horizontal="center"/>
    </xf>
    <xf borderId="3" fillId="2" fontId="18" numFmtId="0" xfId="0" applyAlignment="1" applyBorder="1" applyFont="1">
      <alignment readingOrder="0" shrinkToFit="0" wrapText="0"/>
    </xf>
    <xf borderId="0" fillId="0" fontId="15" numFmtId="165" xfId="0" applyAlignment="1" applyFont="1" applyNumberFormat="1">
      <alignment vertical="bottom"/>
    </xf>
    <xf borderId="0" fillId="0" fontId="15" numFmtId="2" xfId="0" applyAlignment="1" applyFont="1" applyNumberFormat="1">
      <alignment vertical="bottom"/>
    </xf>
    <xf borderId="2" fillId="0" fontId="15" numFmtId="165" xfId="0" applyAlignment="1" applyBorder="1" applyFont="1" applyNumberFormat="1">
      <alignment vertical="bottom"/>
    </xf>
    <xf borderId="9" fillId="0" fontId="15" numFmtId="0" xfId="0" applyAlignment="1" applyBorder="1" applyFont="1">
      <alignment vertical="bottom"/>
    </xf>
    <xf borderId="8" fillId="0" fontId="18" numFmtId="0" xfId="0" applyAlignment="1" applyBorder="1" applyFont="1">
      <alignment horizontal="center"/>
    </xf>
    <xf quotePrefix="1" borderId="7" fillId="0" fontId="18" numFmtId="165" xfId="0" applyAlignment="1" applyBorder="1" applyFont="1" applyNumberFormat="1">
      <alignment horizontal="center"/>
    </xf>
    <xf borderId="7" fillId="0" fontId="18" numFmtId="164" xfId="0" applyAlignment="1" applyBorder="1" applyFont="1" applyNumberFormat="1">
      <alignment horizontal="center"/>
    </xf>
    <xf borderId="7" fillId="0" fontId="18" numFmtId="0" xfId="0" applyAlignment="1" applyBorder="1" applyFont="1">
      <alignment horizontal="right" readingOrder="0"/>
    </xf>
    <xf borderId="3" fillId="7" fontId="18" numFmtId="0" xfId="0" applyAlignment="1" applyBorder="1" applyFill="1" applyFont="1">
      <alignment horizontal="center"/>
    </xf>
    <xf borderId="7" fillId="0" fontId="18" numFmtId="165" xfId="0" applyAlignment="1" applyBorder="1" applyFont="1" applyNumberFormat="1">
      <alignment horizontal="center"/>
    </xf>
    <xf borderId="2" fillId="0" fontId="18" numFmtId="0" xfId="0" applyBorder="1" applyFont="1"/>
    <xf borderId="7" fillId="0" fontId="18" numFmtId="0" xfId="0" applyAlignment="1" applyBorder="1" applyFont="1">
      <alignment horizontal="center" shrinkToFit="0" wrapText="0"/>
    </xf>
    <xf borderId="7" fillId="8" fontId="18" numFmtId="164" xfId="0" applyAlignment="1" applyBorder="1" applyFill="1" applyFont="1" applyNumberFormat="1">
      <alignment horizontal="center"/>
    </xf>
    <xf borderId="7" fillId="8" fontId="18" numFmtId="0" xfId="0" applyAlignment="1" applyBorder="1" applyFont="1">
      <alignment horizontal="center"/>
    </xf>
    <xf borderId="7" fillId="0" fontId="18" numFmtId="165" xfId="0" applyBorder="1" applyFont="1" applyNumberFormat="1"/>
    <xf borderId="7" fillId="0" fontId="18" numFmtId="0" xfId="0" applyBorder="1" applyFont="1"/>
    <xf quotePrefix="1" borderId="7" fillId="0" fontId="18" numFmtId="0" xfId="0" applyAlignment="1" applyBorder="1" applyFont="1">
      <alignment horizontal="center" readingOrder="0"/>
    </xf>
    <xf borderId="2" fillId="0" fontId="18" numFmtId="0" xfId="0" applyAlignment="1" applyBorder="1" applyFont="1">
      <alignment horizontal="center" shrinkToFit="0" wrapText="0"/>
    </xf>
    <xf borderId="3" fillId="0" fontId="18" numFmtId="0" xfId="0" applyAlignment="1" applyBorder="1" applyFont="1">
      <alignment horizontal="center"/>
    </xf>
    <xf borderId="3" fillId="0" fontId="18" numFmtId="0" xfId="0" applyBorder="1" applyFont="1"/>
    <xf borderId="3" fillId="0" fontId="18" numFmtId="0" xfId="0" applyAlignment="1" applyBorder="1" applyFont="1">
      <alignment horizontal="center" shrinkToFit="0" wrapText="0"/>
    </xf>
    <xf borderId="3" fillId="0" fontId="18" numFmtId="165" xfId="0" applyBorder="1" applyFont="1" applyNumberFormat="1"/>
    <xf borderId="3" fillId="0" fontId="18" numFmtId="164" xfId="0" applyAlignment="1" applyBorder="1" applyFont="1" applyNumberFormat="1">
      <alignment horizontal="center"/>
    </xf>
    <xf borderId="3" fillId="0" fontId="18" numFmtId="0" xfId="0" applyAlignment="1" applyBorder="1" applyFont="1">
      <alignment horizontal="right" readingOrder="0"/>
    </xf>
    <xf borderId="7" fillId="0" fontId="15" numFmtId="0" xfId="0" applyAlignment="1" applyBorder="1" applyFont="1">
      <alignment readingOrder="0" vertical="bottom"/>
    </xf>
    <xf borderId="3" fillId="0" fontId="18" numFmtId="164" xfId="0" applyAlignment="1" applyBorder="1" applyFont="1" applyNumberFormat="1">
      <alignment horizontal="center" readingOrder="0"/>
    </xf>
    <xf borderId="3" fillId="0" fontId="18" numFmtId="0" xfId="0" applyAlignment="1" applyBorder="1" applyFont="1">
      <alignment readingOrder="0" shrinkToFit="0" wrapText="0"/>
    </xf>
    <xf borderId="2" fillId="0" fontId="15" numFmtId="0" xfId="0" applyAlignment="1" applyBorder="1" applyFont="1">
      <alignment readingOrder="0"/>
    </xf>
    <xf borderId="3" fillId="0" fontId="18" numFmtId="0" xfId="0" applyAlignment="1" applyBorder="1" applyFont="1">
      <alignment readingOrder="0"/>
    </xf>
    <xf borderId="3" fillId="0" fontId="18" numFmtId="0" xfId="0" applyAlignment="1" applyBorder="1" applyFont="1">
      <alignment horizontal="right"/>
    </xf>
    <xf borderId="3" fillId="7" fontId="18" numFmtId="49" xfId="0" applyAlignment="1" applyBorder="1" applyFont="1" applyNumberFormat="1">
      <alignment horizontal="center"/>
    </xf>
    <xf borderId="0" fillId="0" fontId="15" numFmtId="0" xfId="0" applyAlignment="1" applyFont="1">
      <alignment readingOrder="0"/>
    </xf>
    <xf borderId="3" fillId="7" fontId="18" numFmtId="0" xfId="0" applyAlignment="1" applyBorder="1" applyFont="1">
      <alignment readingOrder="0"/>
    </xf>
    <xf quotePrefix="1" borderId="3" fillId="0" fontId="18" numFmtId="0" xfId="0" applyAlignment="1" applyBorder="1" applyFont="1">
      <alignment horizontal="center" readingOrder="0"/>
    </xf>
    <xf borderId="3" fillId="0" fontId="4" numFmtId="0" xfId="0" applyAlignment="1" applyBorder="1" applyFont="1">
      <alignment horizontal="center"/>
    </xf>
    <xf borderId="3" fillId="2" fontId="7" numFmtId="164" xfId="0" applyAlignment="1" applyBorder="1" applyFont="1" applyNumberFormat="1">
      <alignment horizontal="center"/>
    </xf>
    <xf borderId="3" fillId="0" fontId="7" numFmtId="0" xfId="0" applyAlignment="1" applyBorder="1" applyFont="1">
      <alignment horizontal="center"/>
    </xf>
    <xf borderId="0" fillId="0" fontId="8" numFmtId="0" xfId="0" applyAlignment="1" applyFont="1">
      <alignment readingOrder="0"/>
    </xf>
    <xf borderId="3" fillId="0" fontId="1" numFmtId="0" xfId="0" applyAlignment="1" applyBorder="1" applyFont="1">
      <alignment horizontal="center"/>
    </xf>
    <xf borderId="3" fillId="2" fontId="7" numFmtId="0" xfId="0" applyAlignment="1" applyBorder="1" applyFont="1">
      <alignment horizontal="center"/>
    </xf>
    <xf borderId="3" fillId="0" fontId="7" numFmtId="164" xfId="0" applyAlignment="1" applyBorder="1" applyFont="1" applyNumberFormat="1">
      <alignment horizontal="center"/>
    </xf>
    <xf borderId="10" fillId="2" fontId="7" numFmtId="164" xfId="0" applyAlignment="1" applyBorder="1" applyFont="1" applyNumberFormat="1">
      <alignment horizontal="center"/>
    </xf>
    <xf borderId="10" fillId="0" fontId="7" numFmtId="0" xfId="0" applyAlignment="1" applyBorder="1" applyFont="1">
      <alignment horizontal="center"/>
    </xf>
    <xf borderId="10" fillId="2" fontId="6" numFmtId="0" xfId="0" applyAlignment="1" applyBorder="1" applyFont="1">
      <alignment horizontal="right" vertical="center"/>
    </xf>
    <xf borderId="3" fillId="0" fontId="7" numFmtId="0" xfId="0" applyAlignment="1" applyBorder="1" applyFont="1">
      <alignment horizontal="center" vertical="center"/>
    </xf>
    <xf borderId="0" fillId="0" fontId="1" numFmtId="0" xfId="0" applyAlignment="1" applyFont="1">
      <alignment horizontal="center" vertical="bottom"/>
    </xf>
    <xf borderId="3" fillId="0" fontId="24" numFmtId="0" xfId="0" applyAlignment="1" applyBorder="1" applyFont="1">
      <alignment horizontal="right" readingOrder="0"/>
    </xf>
    <xf borderId="3" fillId="0" fontId="24" numFmtId="0" xfId="0" applyAlignment="1" applyBorder="1" applyFont="1">
      <alignment horizontal="right"/>
    </xf>
    <xf borderId="3" fillId="0" fontId="27" numFmtId="0" xfId="0" applyAlignment="1" applyBorder="1" applyFont="1">
      <alignment readingOrder="0"/>
    </xf>
    <xf borderId="3" fillId="0" fontId="27" numFmtId="0" xfId="0" applyAlignment="1" applyBorder="1" applyFont="1">
      <alignment readingOrder="0" vertical="center"/>
    </xf>
    <xf borderId="4" fillId="2" fontId="28" numFmtId="0" xfId="0" applyAlignment="1" applyBorder="1" applyFont="1">
      <alignment horizontal="center" readingOrder="0"/>
    </xf>
    <xf borderId="11" fillId="0" fontId="3" numFmtId="0" xfId="0" applyBorder="1" applyFont="1"/>
    <xf borderId="3" fillId="2" fontId="18" numFmtId="0" xfId="0" applyAlignment="1" applyBorder="1" applyFont="1">
      <alignment horizontal="right" readingOrder="0"/>
    </xf>
    <xf borderId="3" fillId="0" fontId="29" numFmtId="0" xfId="0" applyAlignment="1" applyBorder="1" applyFont="1">
      <alignment readingOrder="0"/>
    </xf>
    <xf borderId="3" fillId="9" fontId="8" numFmtId="0" xfId="0" applyAlignment="1" applyBorder="1" applyFill="1" applyFont="1">
      <alignment horizontal="center" readingOrder="0" vertical="center"/>
    </xf>
    <xf borderId="0" fillId="0" fontId="24" numFmtId="0" xfId="0" applyAlignment="1" applyFont="1">
      <alignment horizontal="center" readingOrder="0"/>
    </xf>
    <xf borderId="3" fillId="0" fontId="29" numFmtId="0" xfId="0" applyBorder="1" applyFont="1"/>
    <xf borderId="0" fillId="2" fontId="18" numFmtId="0" xfId="0" applyAlignment="1" applyFont="1">
      <alignment horizontal="right" readingOrder="0"/>
    </xf>
    <xf borderId="3" fillId="0" fontId="8" numFmtId="0" xfId="0" applyBorder="1" applyFont="1"/>
    <xf borderId="0" fillId="0" fontId="30" numFmtId="0" xfId="0" applyAlignment="1" applyFont="1">
      <alignment readingOrder="0"/>
    </xf>
    <xf borderId="0" fillId="0" fontId="31" numFmtId="0" xfId="0" applyAlignment="1" applyFont="1">
      <alignment readingOrder="0"/>
    </xf>
    <xf borderId="0" fillId="2" fontId="18" numFmtId="0" xfId="0" applyAlignment="1" applyFont="1">
      <alignment horizontal="right"/>
    </xf>
    <xf borderId="0" fillId="2" fontId="18" numFmtId="0" xfId="0" applyAlignment="1" applyFont="1">
      <alignment readingOrder="0"/>
    </xf>
    <xf borderId="3" fillId="2" fontId="18" numFmtId="0" xfId="0" applyAlignment="1" applyBorder="1" applyFont="1">
      <alignment readingOrder="0"/>
    </xf>
    <xf borderId="0" fillId="0" fontId="29" numFmtId="0" xfId="0" applyFont="1"/>
    <xf borderId="0" fillId="0" fontId="8" numFmtId="0" xfId="0" applyAlignment="1" applyFont="1">
      <alignment horizontal="center"/>
    </xf>
    <xf borderId="3" fillId="2" fontId="19" numFmtId="0" xfId="0" applyAlignment="1" applyBorder="1" applyFont="1">
      <alignment horizontal="center" readingOrder="0" vertical="center"/>
    </xf>
    <xf borderId="3" fillId="2" fontId="19" numFmtId="0" xfId="0" applyAlignment="1" applyBorder="1" applyFont="1">
      <alignment horizontal="center" vertical="center"/>
    </xf>
    <xf borderId="3" fillId="2" fontId="19" numFmtId="0" xfId="0" applyAlignment="1" applyBorder="1" applyFont="1">
      <alignment horizontal="center" readingOrder="0" vertical="center"/>
    </xf>
    <xf borderId="3" fillId="2" fontId="19" numFmtId="0" xfId="0" applyAlignment="1" applyBorder="1" applyFont="1">
      <alignment horizontal="center" vertical="center"/>
    </xf>
    <xf borderId="3" fillId="2" fontId="18" numFmtId="164" xfId="0" applyAlignment="1" applyBorder="1" applyFont="1" applyNumberFormat="1">
      <alignment horizontal="center" readingOrder="0" vertical="center"/>
    </xf>
    <xf borderId="3" fillId="2" fontId="19" numFmtId="0" xfId="0" applyAlignment="1" applyBorder="1" applyFont="1">
      <alignment horizontal="right" readingOrder="0" vertical="center"/>
    </xf>
    <xf borderId="3" fillId="2" fontId="6" numFmtId="0" xfId="0" applyAlignment="1" applyBorder="1" applyFont="1">
      <alignment horizontal="center" readingOrder="0" shrinkToFit="0" vertical="center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6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5" Type="http://schemas.openxmlformats.org/officeDocument/2006/relationships/worksheet" Target="worksheets/sheet1.xml"/><Relationship Id="rId19" Type="http://schemas.openxmlformats.org/officeDocument/2006/relationships/worksheet" Target="worksheets/sheet15.xml"/><Relationship Id="rId6" Type="http://schemas.openxmlformats.org/officeDocument/2006/relationships/worksheet" Target="worksheets/sheet2.xml"/><Relationship Id="rId18" Type="http://schemas.openxmlformats.org/officeDocument/2006/relationships/worksheet" Target="worksheets/sheet14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hyperlink" Target="https://maps.app.goo.gl/fYtRWTzEhd44MzuU9" TargetMode="External"/><Relationship Id="rId2" Type="http://schemas.openxmlformats.org/officeDocument/2006/relationships/hyperlink" Target="https://www.google.com/maps?q=33.5553718,73.1563084" TargetMode="External"/><Relationship Id="rId3" Type="http://schemas.openxmlformats.org/officeDocument/2006/relationships/hyperlink" Target="https://maps.app.goo.gl/qafb1uz4MxmLriz3A?g_st=iw" TargetMode="External"/><Relationship Id="rId4" Type="http://schemas.openxmlformats.org/officeDocument/2006/relationships/hyperlink" Target="https://www.google.com/maps?q=33.5692917,73.1758283" TargetMode="External"/><Relationship Id="rId5" Type="http://schemas.openxmlformats.org/officeDocument/2006/relationships/hyperlink" Target="https://maps.app.goo.gl/at16HYXdh1mLvWQa7" TargetMode="External"/><Relationship Id="rId6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6" max="16" width="27.38"/>
  </cols>
  <sheetData>
    <row r="1">
      <c r="A1" s="1"/>
      <c r="B1" s="2"/>
      <c r="C1" s="3">
        <v>45596.0</v>
      </c>
      <c r="D1" s="4"/>
      <c r="E1" s="4"/>
      <c r="F1" s="5" t="s">
        <v>0</v>
      </c>
      <c r="I1" s="6" t="s">
        <v>1</v>
      </c>
      <c r="J1" s="4"/>
      <c r="K1" s="5" t="s">
        <v>2</v>
      </c>
      <c r="M1" s="1"/>
      <c r="N1" s="7" t="s">
        <v>3</v>
      </c>
      <c r="O1" s="4"/>
      <c r="P1" s="8" t="s">
        <v>4</v>
      </c>
      <c r="S1" s="1"/>
      <c r="T1" s="2"/>
      <c r="U1" s="1"/>
      <c r="V1" s="1"/>
      <c r="W1" s="1"/>
      <c r="X1" s="1"/>
      <c r="Y1" s="1"/>
      <c r="Z1" s="1"/>
      <c r="AA1" s="1"/>
    </row>
    <row r="2">
      <c r="A2" s="9"/>
      <c r="B2" s="9"/>
      <c r="C2" s="9"/>
      <c r="D2" s="9"/>
      <c r="E2" s="9"/>
      <c r="F2" s="9"/>
      <c r="G2" s="9"/>
      <c r="H2" s="9"/>
      <c r="I2" s="9"/>
      <c r="J2" s="10"/>
      <c r="K2" s="9"/>
      <c r="L2" s="11"/>
      <c r="M2" s="1"/>
      <c r="N2" s="9"/>
      <c r="O2" s="9"/>
      <c r="P2" s="12"/>
      <c r="Q2" s="9"/>
      <c r="R2" s="9"/>
      <c r="S2" s="1"/>
      <c r="T2" s="11"/>
      <c r="U2" s="1"/>
      <c r="V2" s="1"/>
      <c r="W2" s="1"/>
      <c r="X2" s="1"/>
      <c r="Y2" s="1"/>
      <c r="Z2" s="1"/>
      <c r="AA2" s="1"/>
    </row>
    <row r="3" ht="33.75" customHeight="1">
      <c r="A3" s="13" t="s">
        <v>5</v>
      </c>
      <c r="B3" s="13" t="s">
        <v>6</v>
      </c>
      <c r="C3" s="13" t="s">
        <v>7</v>
      </c>
      <c r="D3" s="13" t="s">
        <v>8</v>
      </c>
      <c r="E3" s="14" t="s">
        <v>9</v>
      </c>
      <c r="F3" s="15"/>
      <c r="G3" s="14" t="s">
        <v>10</v>
      </c>
      <c r="H3" s="15"/>
      <c r="I3" s="13" t="s">
        <v>11</v>
      </c>
      <c r="J3" s="16" t="s">
        <v>12</v>
      </c>
      <c r="K3" s="13" t="s">
        <v>13</v>
      </c>
      <c r="L3" s="13" t="s">
        <v>14</v>
      </c>
      <c r="M3" s="13" t="s">
        <v>15</v>
      </c>
      <c r="N3" s="17" t="s">
        <v>16</v>
      </c>
      <c r="O3" s="13" t="s">
        <v>17</v>
      </c>
      <c r="P3" s="18" t="s">
        <v>18</v>
      </c>
      <c r="Q3" s="13" t="s">
        <v>19</v>
      </c>
      <c r="R3" s="13" t="s">
        <v>20</v>
      </c>
      <c r="S3" s="19"/>
      <c r="T3" s="20" t="s">
        <v>21</v>
      </c>
      <c r="U3" s="21"/>
      <c r="V3" s="22" t="s">
        <v>22</v>
      </c>
      <c r="W3" s="23" t="s">
        <v>23</v>
      </c>
      <c r="X3" s="21"/>
      <c r="Y3" s="21"/>
      <c r="Z3" s="21"/>
      <c r="AA3" s="21"/>
    </row>
    <row r="4" ht="33.75" customHeight="1">
      <c r="A4" s="24" t="s">
        <v>24</v>
      </c>
      <c r="B4" s="25"/>
      <c r="C4" s="25"/>
      <c r="D4" s="25"/>
      <c r="E4" s="25"/>
      <c r="F4" s="25"/>
      <c r="G4" s="25"/>
      <c r="H4" s="25"/>
      <c r="I4" s="25"/>
      <c r="J4" s="25"/>
      <c r="K4" s="25"/>
      <c r="L4" s="25"/>
      <c r="M4" s="25"/>
      <c r="N4" s="25"/>
      <c r="O4" s="25"/>
      <c r="P4" s="25"/>
      <c r="Q4" s="25"/>
      <c r="R4" s="26"/>
      <c r="S4" s="27"/>
      <c r="T4" s="28"/>
      <c r="U4" s="21"/>
      <c r="V4" s="29"/>
      <c r="W4" s="30"/>
      <c r="X4" s="21"/>
      <c r="Y4" s="21"/>
      <c r="Z4" s="21"/>
      <c r="AA4" s="21"/>
    </row>
    <row r="5" ht="33.75" customHeight="1">
      <c r="A5" s="31" t="s">
        <v>25</v>
      </c>
      <c r="B5" s="32" t="s">
        <v>26</v>
      </c>
      <c r="C5" s="32" t="s">
        <v>27</v>
      </c>
      <c r="D5" s="33" t="s">
        <v>28</v>
      </c>
      <c r="E5" s="33" t="s">
        <v>29</v>
      </c>
      <c r="F5" s="33" t="s">
        <v>30</v>
      </c>
      <c r="G5" s="33" t="s">
        <v>29</v>
      </c>
      <c r="H5" s="33" t="s">
        <v>30</v>
      </c>
      <c r="I5" s="33" t="s">
        <v>31</v>
      </c>
      <c r="J5" s="34" t="s">
        <v>32</v>
      </c>
      <c r="K5" s="32">
        <v>1994.0</v>
      </c>
      <c r="L5" s="35">
        <v>29758.0</v>
      </c>
      <c r="M5" s="36" t="s">
        <v>33</v>
      </c>
      <c r="N5" s="37" t="s">
        <v>34</v>
      </c>
      <c r="O5" s="33" t="s">
        <v>35</v>
      </c>
      <c r="P5" s="37" t="s">
        <v>36</v>
      </c>
      <c r="Q5" s="38">
        <v>85855.0</v>
      </c>
      <c r="R5" s="32">
        <v>1.0</v>
      </c>
      <c r="S5" s="27"/>
      <c r="T5" s="39">
        <v>45657.0</v>
      </c>
      <c r="U5" s="21"/>
      <c r="V5" s="29">
        <f t="shared" ref="V5:V20" si="1">(T5-L5)/365</f>
        <v>43.55890411</v>
      </c>
      <c r="W5" s="30">
        <f t="shared" ref="W5:W20" si="2">(TODAY()-L5)/365</f>
        <v>45.09589041</v>
      </c>
      <c r="X5" s="21"/>
      <c r="Y5" s="21"/>
      <c r="Z5" s="21"/>
      <c r="AA5" s="21"/>
    </row>
    <row r="6" ht="33.75" customHeight="1">
      <c r="A6" s="31" t="s">
        <v>37</v>
      </c>
      <c r="B6" s="32" t="s">
        <v>38</v>
      </c>
      <c r="C6" s="32" t="s">
        <v>27</v>
      </c>
      <c r="D6" s="33" t="s">
        <v>39</v>
      </c>
      <c r="E6" s="33" t="s">
        <v>40</v>
      </c>
      <c r="F6" s="33" t="s">
        <v>30</v>
      </c>
      <c r="G6" s="33" t="s">
        <v>29</v>
      </c>
      <c r="H6" s="33" t="s">
        <v>30</v>
      </c>
      <c r="I6" s="33" t="s">
        <v>41</v>
      </c>
      <c r="J6" s="40">
        <v>0.0</v>
      </c>
      <c r="K6" s="33" t="s">
        <v>42</v>
      </c>
      <c r="L6" s="35">
        <v>26511.0</v>
      </c>
      <c r="M6" s="36" t="s">
        <v>43</v>
      </c>
      <c r="N6" s="37" t="s">
        <v>44</v>
      </c>
      <c r="O6" s="33" t="s">
        <v>35</v>
      </c>
      <c r="P6" s="37" t="s">
        <v>45</v>
      </c>
      <c r="Q6" s="32">
        <v>629409.0</v>
      </c>
      <c r="R6" s="32">
        <f t="shared" ref="R6:R20" si="3">R5+1</f>
        <v>2</v>
      </c>
      <c r="S6" s="27"/>
      <c r="T6" s="39">
        <v>45657.0</v>
      </c>
      <c r="U6" s="21"/>
      <c r="V6" s="29">
        <f t="shared" si="1"/>
        <v>52.45479452</v>
      </c>
      <c r="W6" s="30">
        <f t="shared" si="2"/>
        <v>53.99178082</v>
      </c>
      <c r="X6" s="21"/>
      <c r="Y6" s="21"/>
      <c r="Z6" s="21"/>
      <c r="AA6" s="21"/>
    </row>
    <row r="7" ht="33.75" customHeight="1">
      <c r="A7" s="31" t="s">
        <v>37</v>
      </c>
      <c r="B7" s="32" t="s">
        <v>46</v>
      </c>
      <c r="C7" s="32" t="s">
        <v>47</v>
      </c>
      <c r="D7" s="33" t="s">
        <v>39</v>
      </c>
      <c r="E7" s="33" t="s">
        <v>40</v>
      </c>
      <c r="F7" s="33" t="s">
        <v>30</v>
      </c>
      <c r="G7" s="33" t="s">
        <v>29</v>
      </c>
      <c r="H7" s="33" t="s">
        <v>30</v>
      </c>
      <c r="I7" s="33" t="s">
        <v>48</v>
      </c>
      <c r="J7" s="40">
        <v>0.0</v>
      </c>
      <c r="K7" s="33" t="s">
        <v>42</v>
      </c>
      <c r="L7" s="35">
        <v>27595.0</v>
      </c>
      <c r="M7" s="36" t="s">
        <v>49</v>
      </c>
      <c r="N7" s="37" t="s">
        <v>50</v>
      </c>
      <c r="O7" s="33" t="s">
        <v>35</v>
      </c>
      <c r="P7" s="37" t="s">
        <v>51</v>
      </c>
      <c r="Q7" s="32">
        <v>691771.0</v>
      </c>
      <c r="R7" s="32">
        <f t="shared" si="3"/>
        <v>3</v>
      </c>
      <c r="S7" s="27"/>
      <c r="T7" s="39">
        <v>45657.0</v>
      </c>
      <c r="U7" s="21"/>
      <c r="V7" s="29">
        <f t="shared" si="1"/>
        <v>49.48493151</v>
      </c>
      <c r="W7" s="30">
        <f t="shared" si="2"/>
        <v>51.02191781</v>
      </c>
      <c r="X7" s="21"/>
      <c r="Y7" s="21"/>
      <c r="Z7" s="21"/>
      <c r="AA7" s="21"/>
    </row>
    <row r="8" ht="33.75" customHeight="1">
      <c r="A8" s="31" t="s">
        <v>25</v>
      </c>
      <c r="B8" s="32" t="s">
        <v>52</v>
      </c>
      <c r="C8" s="32" t="s">
        <v>53</v>
      </c>
      <c r="D8" s="33" t="s">
        <v>54</v>
      </c>
      <c r="E8" s="33" t="s">
        <v>40</v>
      </c>
      <c r="F8" s="33" t="s">
        <v>30</v>
      </c>
      <c r="G8" s="33" t="s">
        <v>29</v>
      </c>
      <c r="H8" s="33" t="s">
        <v>30</v>
      </c>
      <c r="I8" s="33" t="s">
        <v>41</v>
      </c>
      <c r="J8" s="41"/>
      <c r="K8" s="33" t="s">
        <v>42</v>
      </c>
      <c r="L8" s="35">
        <v>17434.0</v>
      </c>
      <c r="M8" s="36" t="s">
        <v>49</v>
      </c>
      <c r="N8" s="37" t="s">
        <v>55</v>
      </c>
      <c r="O8" s="33" t="s">
        <v>56</v>
      </c>
      <c r="P8" s="37" t="s">
        <v>50</v>
      </c>
      <c r="Q8" s="32">
        <v>600790.0</v>
      </c>
      <c r="R8" s="32">
        <f t="shared" si="3"/>
        <v>4</v>
      </c>
      <c r="S8" s="27"/>
      <c r="T8" s="39">
        <v>45657.0</v>
      </c>
      <c r="U8" s="21"/>
      <c r="V8" s="29">
        <f t="shared" si="1"/>
        <v>77.32328767</v>
      </c>
      <c r="W8" s="30">
        <f t="shared" si="2"/>
        <v>78.86027397</v>
      </c>
      <c r="X8" s="21"/>
      <c r="Y8" s="21"/>
      <c r="Z8" s="21"/>
      <c r="AA8" s="21"/>
    </row>
    <row r="9" ht="33.75" customHeight="1">
      <c r="A9" s="31" t="s">
        <v>25</v>
      </c>
      <c r="B9" s="32" t="s">
        <v>57</v>
      </c>
      <c r="C9" s="32" t="s">
        <v>27</v>
      </c>
      <c r="D9" s="33" t="s">
        <v>54</v>
      </c>
      <c r="E9" s="33" t="s">
        <v>40</v>
      </c>
      <c r="F9" s="33" t="s">
        <v>30</v>
      </c>
      <c r="G9" s="33" t="s">
        <v>29</v>
      </c>
      <c r="H9" s="33" t="s">
        <v>30</v>
      </c>
      <c r="I9" s="42" t="s">
        <v>58</v>
      </c>
      <c r="J9" s="41"/>
      <c r="K9" s="33" t="s">
        <v>42</v>
      </c>
      <c r="L9" s="35">
        <v>20261.0</v>
      </c>
      <c r="M9" s="36" t="s">
        <v>59</v>
      </c>
      <c r="N9" s="37" t="s">
        <v>60</v>
      </c>
      <c r="O9" s="33" t="s">
        <v>56</v>
      </c>
      <c r="P9" s="37" t="s">
        <v>61</v>
      </c>
      <c r="Q9" s="32">
        <v>696347.0</v>
      </c>
      <c r="R9" s="32">
        <f t="shared" si="3"/>
        <v>5</v>
      </c>
      <c r="S9" s="27"/>
      <c r="T9" s="39">
        <v>45657.0</v>
      </c>
      <c r="U9" s="21"/>
      <c r="V9" s="29">
        <f t="shared" si="1"/>
        <v>69.57808219</v>
      </c>
      <c r="W9" s="30">
        <f t="shared" si="2"/>
        <v>71.11506849</v>
      </c>
      <c r="X9" s="21"/>
      <c r="Y9" s="21"/>
      <c r="Z9" s="21"/>
      <c r="AA9" s="21"/>
    </row>
    <row r="10" ht="33.75" customHeight="1">
      <c r="A10" s="31" t="s">
        <v>25</v>
      </c>
      <c r="B10" s="32" t="s">
        <v>62</v>
      </c>
      <c r="C10" s="32" t="s">
        <v>53</v>
      </c>
      <c r="D10" s="33" t="s">
        <v>54</v>
      </c>
      <c r="E10" s="33" t="s">
        <v>40</v>
      </c>
      <c r="F10" s="33" t="s">
        <v>30</v>
      </c>
      <c r="G10" s="33" t="s">
        <v>29</v>
      </c>
      <c r="H10" s="33" t="s">
        <v>30</v>
      </c>
      <c r="I10" s="33" t="s">
        <v>63</v>
      </c>
      <c r="J10" s="34" t="s">
        <v>64</v>
      </c>
      <c r="K10" s="33" t="s">
        <v>42</v>
      </c>
      <c r="L10" s="35">
        <v>19786.0</v>
      </c>
      <c r="M10" s="36" t="s">
        <v>65</v>
      </c>
      <c r="N10" s="37" t="s">
        <v>66</v>
      </c>
      <c r="O10" s="33" t="s">
        <v>56</v>
      </c>
      <c r="P10" s="37" t="s">
        <v>67</v>
      </c>
      <c r="Q10" s="32">
        <v>633185.0</v>
      </c>
      <c r="R10" s="32">
        <f t="shared" si="3"/>
        <v>6</v>
      </c>
      <c r="S10" s="27"/>
      <c r="T10" s="39">
        <v>45657.0</v>
      </c>
      <c r="U10" s="21"/>
      <c r="V10" s="29">
        <f t="shared" si="1"/>
        <v>70.87945205</v>
      </c>
      <c r="W10" s="30">
        <f t="shared" si="2"/>
        <v>72.41643836</v>
      </c>
      <c r="X10" s="21"/>
      <c r="Y10" s="21"/>
      <c r="Z10" s="21"/>
      <c r="AA10" s="21"/>
    </row>
    <row r="11" ht="33.75" customHeight="1">
      <c r="A11" s="31" t="s">
        <v>25</v>
      </c>
      <c r="B11" s="32" t="s">
        <v>68</v>
      </c>
      <c r="C11" s="32" t="s">
        <v>69</v>
      </c>
      <c r="D11" s="33" t="s">
        <v>39</v>
      </c>
      <c r="E11" s="33" t="s">
        <v>40</v>
      </c>
      <c r="F11" s="33" t="s">
        <v>30</v>
      </c>
      <c r="G11" s="33" t="s">
        <v>29</v>
      </c>
      <c r="H11" s="33" t="s">
        <v>30</v>
      </c>
      <c r="I11" s="33" t="s">
        <v>48</v>
      </c>
      <c r="J11" s="43" t="s">
        <v>70</v>
      </c>
      <c r="K11" s="33" t="s">
        <v>42</v>
      </c>
      <c r="L11" s="35">
        <v>23531.0</v>
      </c>
      <c r="M11" s="36" t="s">
        <v>71</v>
      </c>
      <c r="N11" s="37" t="s">
        <v>72</v>
      </c>
      <c r="O11" s="33" t="s">
        <v>56</v>
      </c>
      <c r="P11" s="37" t="s">
        <v>73</v>
      </c>
      <c r="Q11" s="32">
        <v>626887.0</v>
      </c>
      <c r="R11" s="32">
        <f t="shared" si="3"/>
        <v>7</v>
      </c>
      <c r="S11" s="27"/>
      <c r="T11" s="39">
        <v>45657.0</v>
      </c>
      <c r="U11" s="21"/>
      <c r="V11" s="29">
        <f t="shared" si="1"/>
        <v>60.61917808</v>
      </c>
      <c r="W11" s="30">
        <f t="shared" si="2"/>
        <v>62.15616438</v>
      </c>
      <c r="X11" s="21"/>
      <c r="Y11" s="21"/>
      <c r="Z11" s="21"/>
      <c r="AA11" s="21"/>
    </row>
    <row r="12" ht="33.75" customHeight="1">
      <c r="A12" s="38" t="s">
        <v>25</v>
      </c>
      <c r="B12" s="38" t="s">
        <v>74</v>
      </c>
      <c r="C12" s="38" t="s">
        <v>75</v>
      </c>
      <c r="D12" s="42" t="s">
        <v>76</v>
      </c>
      <c r="E12" s="42" t="s">
        <v>40</v>
      </c>
      <c r="F12" s="33" t="s">
        <v>30</v>
      </c>
      <c r="G12" s="33" t="s">
        <v>29</v>
      </c>
      <c r="H12" s="33" t="s">
        <v>30</v>
      </c>
      <c r="I12" s="42" t="s">
        <v>41</v>
      </c>
      <c r="J12" s="44" t="s">
        <v>77</v>
      </c>
      <c r="K12" s="42" t="s">
        <v>42</v>
      </c>
      <c r="L12" s="45">
        <v>30189.0</v>
      </c>
      <c r="M12" s="46" t="s">
        <v>78</v>
      </c>
      <c r="N12" s="47" t="s">
        <v>79</v>
      </c>
      <c r="O12" s="42" t="s">
        <v>35</v>
      </c>
      <c r="P12" s="48" t="s">
        <v>80</v>
      </c>
      <c r="Q12" s="38">
        <v>699653.0</v>
      </c>
      <c r="R12" s="32">
        <f t="shared" si="3"/>
        <v>8</v>
      </c>
      <c r="S12" s="27"/>
      <c r="T12" s="39">
        <v>45657.0</v>
      </c>
      <c r="U12" s="21"/>
      <c r="V12" s="29">
        <f t="shared" si="1"/>
        <v>42.37808219</v>
      </c>
      <c r="W12" s="30">
        <f t="shared" si="2"/>
        <v>43.91506849</v>
      </c>
      <c r="X12" s="21"/>
      <c r="Y12" s="21"/>
      <c r="Z12" s="21"/>
      <c r="AA12" s="21"/>
    </row>
    <row r="13" ht="33.75" customHeight="1">
      <c r="A13" s="38" t="s">
        <v>25</v>
      </c>
      <c r="B13" s="32" t="s">
        <v>81</v>
      </c>
      <c r="C13" s="32" t="s">
        <v>27</v>
      </c>
      <c r="D13" s="33" t="s">
        <v>39</v>
      </c>
      <c r="E13" s="42" t="s">
        <v>40</v>
      </c>
      <c r="F13" s="33" t="s">
        <v>30</v>
      </c>
      <c r="G13" s="33" t="s">
        <v>29</v>
      </c>
      <c r="H13" s="33" t="s">
        <v>30</v>
      </c>
      <c r="I13" s="42" t="s">
        <v>41</v>
      </c>
      <c r="J13" s="49"/>
      <c r="K13" s="42" t="s">
        <v>42</v>
      </c>
      <c r="L13" s="45">
        <v>26665.0</v>
      </c>
      <c r="M13" s="50" t="s">
        <v>82</v>
      </c>
      <c r="N13" s="47" t="s">
        <v>83</v>
      </c>
      <c r="O13" s="42" t="s">
        <v>35</v>
      </c>
      <c r="P13" s="48" t="s">
        <v>84</v>
      </c>
      <c r="Q13" s="38">
        <v>632609.0</v>
      </c>
      <c r="R13" s="32">
        <f t="shared" si="3"/>
        <v>9</v>
      </c>
      <c r="S13" s="27"/>
      <c r="T13" s="39">
        <v>45657.0</v>
      </c>
      <c r="U13" s="21"/>
      <c r="V13" s="29">
        <f t="shared" si="1"/>
        <v>52.03287671</v>
      </c>
      <c r="W13" s="30">
        <f t="shared" si="2"/>
        <v>53.56986301</v>
      </c>
      <c r="X13" s="21"/>
      <c r="Y13" s="21"/>
      <c r="Z13" s="21"/>
      <c r="AA13" s="21"/>
    </row>
    <row r="14" ht="33.75" customHeight="1">
      <c r="A14" s="38" t="s">
        <v>25</v>
      </c>
      <c r="B14" s="38" t="s">
        <v>85</v>
      </c>
      <c r="C14" s="38" t="s">
        <v>53</v>
      </c>
      <c r="D14" s="42" t="s">
        <v>76</v>
      </c>
      <c r="E14" s="42" t="s">
        <v>40</v>
      </c>
      <c r="F14" s="33" t="s">
        <v>30</v>
      </c>
      <c r="G14" s="33" t="s">
        <v>29</v>
      </c>
      <c r="H14" s="33" t="s">
        <v>30</v>
      </c>
      <c r="I14" s="42" t="s">
        <v>31</v>
      </c>
      <c r="J14" s="44" t="s">
        <v>86</v>
      </c>
      <c r="K14" s="42" t="s">
        <v>42</v>
      </c>
      <c r="L14" s="45">
        <v>29543.0</v>
      </c>
      <c r="M14" s="46" t="s">
        <v>87</v>
      </c>
      <c r="N14" s="47" t="s">
        <v>88</v>
      </c>
      <c r="O14" s="42" t="s">
        <v>35</v>
      </c>
      <c r="P14" s="48" t="s">
        <v>89</v>
      </c>
      <c r="Q14" s="38">
        <v>76290.0</v>
      </c>
      <c r="R14" s="32">
        <f t="shared" si="3"/>
        <v>10</v>
      </c>
      <c r="S14" s="27"/>
      <c r="T14" s="39">
        <v>45657.0</v>
      </c>
      <c r="U14" s="21"/>
      <c r="V14" s="29">
        <f t="shared" si="1"/>
        <v>44.14794521</v>
      </c>
      <c r="W14" s="30">
        <f t="shared" si="2"/>
        <v>45.68493151</v>
      </c>
      <c r="X14" s="21"/>
      <c r="Y14" s="21"/>
      <c r="Z14" s="21"/>
      <c r="AA14" s="21"/>
    </row>
    <row r="15" ht="33.75" customHeight="1">
      <c r="A15" s="38" t="s">
        <v>25</v>
      </c>
      <c r="B15" s="32" t="s">
        <v>90</v>
      </c>
      <c r="C15" s="38" t="s">
        <v>47</v>
      </c>
      <c r="D15" s="42" t="s">
        <v>76</v>
      </c>
      <c r="E15" s="42" t="s">
        <v>40</v>
      </c>
      <c r="F15" s="33" t="s">
        <v>30</v>
      </c>
      <c r="G15" s="33" t="s">
        <v>29</v>
      </c>
      <c r="H15" s="33" t="s">
        <v>30</v>
      </c>
      <c r="I15" s="42" t="s">
        <v>31</v>
      </c>
      <c r="J15" s="51" t="s">
        <v>91</v>
      </c>
      <c r="K15" s="42" t="s">
        <v>42</v>
      </c>
      <c r="L15" s="45">
        <v>22937.0</v>
      </c>
      <c r="M15" s="50" t="s">
        <v>92</v>
      </c>
      <c r="N15" s="47" t="s">
        <v>93</v>
      </c>
      <c r="O15" s="42" t="s">
        <v>56</v>
      </c>
      <c r="P15" s="48" t="s">
        <v>94</v>
      </c>
      <c r="Q15" s="38">
        <v>701872.0</v>
      </c>
      <c r="R15" s="32">
        <f t="shared" si="3"/>
        <v>11</v>
      </c>
      <c r="S15" s="27"/>
      <c r="T15" s="39">
        <v>45657.0</v>
      </c>
      <c r="U15" s="21"/>
      <c r="V15" s="29">
        <f t="shared" si="1"/>
        <v>62.24657534</v>
      </c>
      <c r="W15" s="30">
        <f t="shared" si="2"/>
        <v>63.78356164</v>
      </c>
      <c r="X15" s="21"/>
      <c r="Y15" s="21"/>
      <c r="Z15" s="21"/>
      <c r="AA15" s="21"/>
    </row>
    <row r="16" ht="33.75" customHeight="1">
      <c r="A16" s="38" t="s">
        <v>25</v>
      </c>
      <c r="B16" s="52" t="s">
        <v>95</v>
      </c>
      <c r="C16" s="52" t="s">
        <v>53</v>
      </c>
      <c r="D16" s="42" t="s">
        <v>76</v>
      </c>
      <c r="E16" s="53" t="s">
        <v>96</v>
      </c>
      <c r="F16" s="53" t="s">
        <v>97</v>
      </c>
      <c r="G16" s="53" t="s">
        <v>98</v>
      </c>
      <c r="H16" s="53" t="s">
        <v>30</v>
      </c>
      <c r="I16" s="53" t="s">
        <v>99</v>
      </c>
      <c r="J16" s="51" t="s">
        <v>100</v>
      </c>
      <c r="K16" s="53" t="s">
        <v>42</v>
      </c>
      <c r="L16" s="45">
        <v>30033.0</v>
      </c>
      <c r="M16" s="36" t="s">
        <v>101</v>
      </c>
      <c r="N16" s="37" t="s">
        <v>50</v>
      </c>
      <c r="O16" s="42" t="s">
        <v>35</v>
      </c>
      <c r="P16" s="47" t="s">
        <v>102</v>
      </c>
      <c r="Q16" s="38">
        <v>701739.0</v>
      </c>
      <c r="R16" s="32">
        <f t="shared" si="3"/>
        <v>12</v>
      </c>
      <c r="S16" s="27"/>
      <c r="T16" s="39">
        <v>45657.0</v>
      </c>
      <c r="U16" s="21"/>
      <c r="V16" s="29">
        <f t="shared" si="1"/>
        <v>42.80547945</v>
      </c>
      <c r="W16" s="30">
        <f t="shared" si="2"/>
        <v>44.34246575</v>
      </c>
      <c r="X16" s="21"/>
      <c r="Y16" s="21"/>
      <c r="Z16" s="21"/>
      <c r="AA16" s="21"/>
    </row>
    <row r="17" ht="33.75" customHeight="1">
      <c r="A17" s="38" t="s">
        <v>25</v>
      </c>
      <c r="B17" s="52" t="s">
        <v>103</v>
      </c>
      <c r="C17" s="52" t="s">
        <v>53</v>
      </c>
      <c r="D17" s="33" t="s">
        <v>54</v>
      </c>
      <c r="E17" s="53" t="s">
        <v>96</v>
      </c>
      <c r="F17" s="53" t="s">
        <v>97</v>
      </c>
      <c r="G17" s="53" t="s">
        <v>98</v>
      </c>
      <c r="H17" s="53" t="s">
        <v>30</v>
      </c>
      <c r="I17" s="53" t="s">
        <v>104</v>
      </c>
      <c r="J17" s="51" t="s">
        <v>105</v>
      </c>
      <c r="K17" s="53" t="s">
        <v>42</v>
      </c>
      <c r="L17" s="45">
        <v>13473.0</v>
      </c>
      <c r="M17" s="36" t="s">
        <v>106</v>
      </c>
      <c r="N17" s="47" t="s">
        <v>107</v>
      </c>
      <c r="O17" s="53" t="s">
        <v>56</v>
      </c>
      <c r="P17" s="47" t="s">
        <v>108</v>
      </c>
      <c r="Q17" s="38">
        <v>625051.0</v>
      </c>
      <c r="R17" s="32">
        <f t="shared" si="3"/>
        <v>13</v>
      </c>
      <c r="S17" s="27"/>
      <c r="T17" s="39">
        <v>45657.0</v>
      </c>
      <c r="U17" s="21"/>
      <c r="V17" s="29">
        <f t="shared" si="1"/>
        <v>88.17534247</v>
      </c>
      <c r="W17" s="30">
        <f t="shared" si="2"/>
        <v>89.71232877</v>
      </c>
      <c r="X17" s="21"/>
      <c r="Y17" s="21"/>
      <c r="Z17" s="21"/>
      <c r="AA17" s="21"/>
    </row>
    <row r="18" ht="33.75" customHeight="1">
      <c r="A18" s="38" t="s">
        <v>25</v>
      </c>
      <c r="B18" s="52" t="s">
        <v>109</v>
      </c>
      <c r="C18" s="38" t="s">
        <v>47</v>
      </c>
      <c r="D18" s="42" t="s">
        <v>110</v>
      </c>
      <c r="E18" s="42" t="s">
        <v>96</v>
      </c>
      <c r="F18" s="42" t="s">
        <v>97</v>
      </c>
      <c r="G18" s="42" t="s">
        <v>98</v>
      </c>
      <c r="H18" s="42" t="s">
        <v>30</v>
      </c>
      <c r="I18" s="42" t="s">
        <v>111</v>
      </c>
      <c r="J18" s="54" t="s">
        <v>40</v>
      </c>
      <c r="K18" s="42" t="s">
        <v>42</v>
      </c>
      <c r="L18" s="55">
        <v>20090.0</v>
      </c>
      <c r="M18" s="36" t="s">
        <v>101</v>
      </c>
      <c r="N18" s="48" t="s">
        <v>112</v>
      </c>
      <c r="O18" s="42" t="s">
        <v>56</v>
      </c>
      <c r="P18" s="48" t="s">
        <v>113</v>
      </c>
      <c r="Q18" s="56"/>
      <c r="R18" s="32">
        <f t="shared" si="3"/>
        <v>14</v>
      </c>
      <c r="S18" s="27"/>
      <c r="T18" s="39">
        <v>45657.0</v>
      </c>
      <c r="U18" s="21"/>
      <c r="V18" s="29">
        <f t="shared" si="1"/>
        <v>70.04657534</v>
      </c>
      <c r="W18" s="30">
        <f t="shared" si="2"/>
        <v>71.58356164</v>
      </c>
      <c r="X18" s="21"/>
      <c r="Y18" s="21"/>
      <c r="Z18" s="21"/>
      <c r="AA18" s="21"/>
    </row>
    <row r="19" ht="33.75" customHeight="1">
      <c r="A19" s="38" t="s">
        <v>25</v>
      </c>
      <c r="B19" s="32" t="s">
        <v>114</v>
      </c>
      <c r="C19" s="38" t="s">
        <v>47</v>
      </c>
      <c r="D19" s="42" t="s">
        <v>115</v>
      </c>
      <c r="E19" s="33" t="s">
        <v>29</v>
      </c>
      <c r="F19" s="33" t="s">
        <v>30</v>
      </c>
      <c r="G19" s="33" t="s">
        <v>29</v>
      </c>
      <c r="H19" s="33" t="s">
        <v>30</v>
      </c>
      <c r="I19" s="42" t="s">
        <v>116</v>
      </c>
      <c r="J19" s="51" t="s">
        <v>117</v>
      </c>
      <c r="K19" s="42" t="s">
        <v>42</v>
      </c>
      <c r="L19" s="57">
        <v>28888.0</v>
      </c>
      <c r="M19" s="46" t="s">
        <v>118</v>
      </c>
      <c r="N19" s="47" t="s">
        <v>119</v>
      </c>
      <c r="O19" s="42" t="s">
        <v>35</v>
      </c>
      <c r="P19" s="48" t="s">
        <v>120</v>
      </c>
      <c r="Q19" s="38">
        <v>696463.0</v>
      </c>
      <c r="R19" s="32">
        <f t="shared" si="3"/>
        <v>15</v>
      </c>
      <c r="S19" s="27"/>
      <c r="T19" s="39">
        <v>45657.0</v>
      </c>
      <c r="U19" s="21"/>
      <c r="V19" s="29">
        <f t="shared" si="1"/>
        <v>45.94246575</v>
      </c>
      <c r="W19" s="30">
        <f t="shared" si="2"/>
        <v>47.47945205</v>
      </c>
      <c r="X19" s="21"/>
      <c r="Y19" s="21"/>
      <c r="Z19" s="21"/>
      <c r="AA19" s="21"/>
    </row>
    <row r="20" ht="33.75" customHeight="1">
      <c r="A20" s="58" t="s">
        <v>25</v>
      </c>
      <c r="B20" s="59"/>
      <c r="C20" s="58" t="s">
        <v>53</v>
      </c>
      <c r="D20" s="60" t="s">
        <v>39</v>
      </c>
      <c r="E20" s="61" t="s">
        <v>96</v>
      </c>
      <c r="F20" s="61" t="s">
        <v>97</v>
      </c>
      <c r="G20" s="61" t="s">
        <v>98</v>
      </c>
      <c r="H20" s="61" t="s">
        <v>30</v>
      </c>
      <c r="I20" s="61" t="s">
        <v>121</v>
      </c>
      <c r="J20" s="61" t="s">
        <v>40</v>
      </c>
      <c r="K20" s="61">
        <v>1993.0</v>
      </c>
      <c r="L20" s="55">
        <v>29952.0</v>
      </c>
      <c r="M20" s="62" t="s">
        <v>122</v>
      </c>
      <c r="N20" s="63" t="s">
        <v>123</v>
      </c>
      <c r="O20" s="61" t="s">
        <v>35</v>
      </c>
      <c r="P20" s="63" t="s">
        <v>124</v>
      </c>
      <c r="Q20" s="64"/>
      <c r="R20" s="32">
        <f t="shared" si="3"/>
        <v>16</v>
      </c>
      <c r="S20" s="27"/>
      <c r="T20" s="39">
        <v>45657.0</v>
      </c>
      <c r="U20" s="21"/>
      <c r="V20" s="29">
        <f t="shared" si="1"/>
        <v>43.02739726</v>
      </c>
      <c r="W20" s="30">
        <f t="shared" si="2"/>
        <v>44.56438356</v>
      </c>
      <c r="X20" s="21"/>
      <c r="Y20" s="21"/>
      <c r="Z20" s="21"/>
      <c r="AA20" s="21"/>
    </row>
    <row r="21" ht="33.75" customHeight="1">
      <c r="A21" s="24" t="s">
        <v>125</v>
      </c>
      <c r="B21" s="25"/>
      <c r="C21" s="25"/>
      <c r="D21" s="25"/>
      <c r="E21" s="25"/>
      <c r="F21" s="25"/>
      <c r="G21" s="25"/>
      <c r="H21" s="25"/>
      <c r="I21" s="25"/>
      <c r="J21" s="25"/>
      <c r="K21" s="25"/>
      <c r="L21" s="25"/>
      <c r="M21" s="25"/>
      <c r="N21" s="25"/>
      <c r="O21" s="25"/>
      <c r="P21" s="25"/>
      <c r="Q21" s="25"/>
      <c r="R21" s="26"/>
      <c r="S21" s="27"/>
      <c r="T21" s="65"/>
      <c r="U21" s="21"/>
      <c r="V21" s="29"/>
      <c r="W21" s="30"/>
      <c r="X21" s="21"/>
      <c r="Y21" s="21"/>
      <c r="Z21" s="21"/>
      <c r="AA21" s="21"/>
    </row>
    <row r="22" ht="33.75" customHeight="1">
      <c r="A22" s="31" t="s">
        <v>25</v>
      </c>
      <c r="B22" s="32" t="s">
        <v>126</v>
      </c>
      <c r="C22" s="32" t="s">
        <v>47</v>
      </c>
      <c r="D22" s="33" t="s">
        <v>39</v>
      </c>
      <c r="E22" s="33" t="s">
        <v>40</v>
      </c>
      <c r="F22" s="33" t="s">
        <v>30</v>
      </c>
      <c r="G22" s="33" t="s">
        <v>29</v>
      </c>
      <c r="H22" s="33" t="s">
        <v>30</v>
      </c>
      <c r="I22" s="33" t="s">
        <v>41</v>
      </c>
      <c r="J22" s="40">
        <v>0.0</v>
      </c>
      <c r="K22" s="33" t="s">
        <v>42</v>
      </c>
      <c r="L22" s="35">
        <v>29102.0</v>
      </c>
      <c r="M22" s="36" t="s">
        <v>127</v>
      </c>
      <c r="N22" s="37" t="s">
        <v>128</v>
      </c>
      <c r="O22" s="33" t="s">
        <v>35</v>
      </c>
      <c r="P22" s="37" t="s">
        <v>129</v>
      </c>
      <c r="Q22" s="32">
        <v>697263.0</v>
      </c>
      <c r="R22" s="32">
        <f>R20+1</f>
        <v>17</v>
      </c>
      <c r="S22" s="66"/>
      <c r="T22" s="39">
        <v>45657.0</v>
      </c>
      <c r="U22" s="21"/>
      <c r="V22" s="29">
        <f t="shared" ref="V22:V38" si="4">(T22-L22)/365</f>
        <v>45.35616438</v>
      </c>
      <c r="W22" s="30">
        <f t="shared" ref="W22:W38" si="5">(TODAY()-L22)/365</f>
        <v>46.89315068</v>
      </c>
      <c r="X22" s="21"/>
      <c r="Y22" s="21"/>
      <c r="Z22" s="21"/>
      <c r="AA22" s="21"/>
    </row>
    <row r="23" ht="33.75" customHeight="1">
      <c r="A23" s="31" t="s">
        <v>25</v>
      </c>
      <c r="B23" s="32" t="s">
        <v>130</v>
      </c>
      <c r="C23" s="32" t="s">
        <v>53</v>
      </c>
      <c r="D23" s="33" t="s">
        <v>54</v>
      </c>
      <c r="E23" s="33" t="s">
        <v>29</v>
      </c>
      <c r="F23" s="33" t="s">
        <v>30</v>
      </c>
      <c r="G23" s="33" t="s">
        <v>29</v>
      </c>
      <c r="H23" s="33" t="s">
        <v>30</v>
      </c>
      <c r="I23" s="33" t="s">
        <v>131</v>
      </c>
      <c r="J23" s="34" t="s">
        <v>132</v>
      </c>
      <c r="K23" s="33" t="s">
        <v>42</v>
      </c>
      <c r="L23" s="35">
        <v>17036.0</v>
      </c>
      <c r="M23" s="36" t="s">
        <v>133</v>
      </c>
      <c r="N23" s="37" t="s">
        <v>134</v>
      </c>
      <c r="O23" s="33" t="s">
        <v>56</v>
      </c>
      <c r="P23" s="37" t="s">
        <v>128</v>
      </c>
      <c r="Q23" s="32">
        <v>633202.0</v>
      </c>
      <c r="R23" s="32">
        <f t="shared" ref="R23:R38" si="6">R22+1</f>
        <v>18</v>
      </c>
      <c r="S23" s="67"/>
      <c r="T23" s="39">
        <v>45657.0</v>
      </c>
      <c r="U23" s="21"/>
      <c r="V23" s="29">
        <f t="shared" si="4"/>
        <v>78.41369863</v>
      </c>
      <c r="W23" s="30">
        <f t="shared" si="5"/>
        <v>79.95068493</v>
      </c>
      <c r="X23" s="21"/>
      <c r="Y23" s="21"/>
      <c r="Z23" s="21"/>
      <c r="AA23" s="21"/>
    </row>
    <row r="24" ht="33.75" customHeight="1">
      <c r="A24" s="31" t="s">
        <v>25</v>
      </c>
      <c r="B24" s="32" t="s">
        <v>135</v>
      </c>
      <c r="C24" s="32" t="s">
        <v>75</v>
      </c>
      <c r="D24" s="33" t="s">
        <v>54</v>
      </c>
      <c r="E24" s="33" t="s">
        <v>40</v>
      </c>
      <c r="F24" s="33" t="s">
        <v>30</v>
      </c>
      <c r="G24" s="33" t="s">
        <v>29</v>
      </c>
      <c r="H24" s="33" t="s">
        <v>30</v>
      </c>
      <c r="I24" s="33" t="s">
        <v>48</v>
      </c>
      <c r="J24" s="40">
        <v>0.0</v>
      </c>
      <c r="K24" s="33" t="s">
        <v>42</v>
      </c>
      <c r="L24" s="35">
        <v>19489.0</v>
      </c>
      <c r="M24" s="36" t="s">
        <v>136</v>
      </c>
      <c r="N24" s="37" t="s">
        <v>137</v>
      </c>
      <c r="O24" s="33" t="s">
        <v>56</v>
      </c>
      <c r="P24" s="37" t="s">
        <v>138</v>
      </c>
      <c r="Q24" s="32">
        <v>690594.0</v>
      </c>
      <c r="R24" s="32">
        <f t="shared" si="6"/>
        <v>19</v>
      </c>
      <c r="S24" s="66"/>
      <c r="T24" s="39">
        <v>45657.0</v>
      </c>
      <c r="U24" s="21"/>
      <c r="V24" s="29">
        <f t="shared" si="4"/>
        <v>71.69315068</v>
      </c>
      <c r="W24" s="30">
        <f t="shared" si="5"/>
        <v>73.23013699</v>
      </c>
      <c r="X24" s="21"/>
      <c r="Y24" s="21"/>
      <c r="Z24" s="21"/>
      <c r="AA24" s="21"/>
    </row>
    <row r="25" ht="33.75" customHeight="1">
      <c r="A25" s="31" t="s">
        <v>25</v>
      </c>
      <c r="B25" s="32" t="s">
        <v>139</v>
      </c>
      <c r="C25" s="32" t="s">
        <v>53</v>
      </c>
      <c r="D25" s="33" t="s">
        <v>140</v>
      </c>
      <c r="E25" s="33" t="s">
        <v>40</v>
      </c>
      <c r="F25" s="33" t="s">
        <v>30</v>
      </c>
      <c r="G25" s="33" t="s">
        <v>29</v>
      </c>
      <c r="H25" s="33" t="s">
        <v>30</v>
      </c>
      <c r="I25" s="33" t="s">
        <v>48</v>
      </c>
      <c r="J25" s="34" t="s">
        <v>141</v>
      </c>
      <c r="K25" s="33" t="s">
        <v>42</v>
      </c>
      <c r="L25" s="35">
        <v>21596.0</v>
      </c>
      <c r="M25" s="36" t="s">
        <v>142</v>
      </c>
      <c r="N25" s="37" t="s">
        <v>143</v>
      </c>
      <c r="O25" s="33" t="s">
        <v>56</v>
      </c>
      <c r="P25" s="37" t="s">
        <v>144</v>
      </c>
      <c r="Q25" s="32">
        <v>600898.0</v>
      </c>
      <c r="R25" s="32">
        <f t="shared" si="6"/>
        <v>20</v>
      </c>
      <c r="S25" s="27"/>
      <c r="T25" s="39">
        <v>45657.0</v>
      </c>
      <c r="U25" s="21"/>
      <c r="V25" s="29">
        <f t="shared" si="4"/>
        <v>65.92054795</v>
      </c>
      <c r="W25" s="30">
        <f t="shared" si="5"/>
        <v>67.45753425</v>
      </c>
      <c r="X25" s="21"/>
      <c r="Y25" s="21"/>
      <c r="Z25" s="21"/>
      <c r="AA25" s="21"/>
    </row>
    <row r="26" ht="33.75" customHeight="1">
      <c r="A26" s="31" t="s">
        <v>25</v>
      </c>
      <c r="B26" s="32" t="s">
        <v>145</v>
      </c>
      <c r="C26" s="32" t="s">
        <v>53</v>
      </c>
      <c r="D26" s="33" t="s">
        <v>54</v>
      </c>
      <c r="E26" s="33" t="s">
        <v>29</v>
      </c>
      <c r="F26" s="33" t="s">
        <v>30</v>
      </c>
      <c r="G26" s="33" t="s">
        <v>29</v>
      </c>
      <c r="H26" s="33" t="s">
        <v>30</v>
      </c>
      <c r="I26" s="33" t="s">
        <v>31</v>
      </c>
      <c r="J26" s="41"/>
      <c r="K26" s="33" t="s">
        <v>42</v>
      </c>
      <c r="L26" s="35">
        <v>12936.0</v>
      </c>
      <c r="M26" s="36" t="s">
        <v>146</v>
      </c>
      <c r="N26" s="37" t="s">
        <v>147</v>
      </c>
      <c r="O26" s="33" t="s">
        <v>56</v>
      </c>
      <c r="P26" s="37" t="s">
        <v>148</v>
      </c>
      <c r="Q26" s="32">
        <v>626871.0</v>
      </c>
      <c r="R26" s="32">
        <f t="shared" si="6"/>
        <v>21</v>
      </c>
      <c r="S26" s="66"/>
      <c r="T26" s="39">
        <v>45657.0</v>
      </c>
      <c r="U26" s="21"/>
      <c r="V26" s="29">
        <f t="shared" si="4"/>
        <v>89.64657534</v>
      </c>
      <c r="W26" s="30">
        <f t="shared" si="5"/>
        <v>91.18356164</v>
      </c>
      <c r="X26" s="21"/>
      <c r="Y26" s="21"/>
      <c r="Z26" s="21"/>
      <c r="AA26" s="21"/>
    </row>
    <row r="27" ht="33.75" customHeight="1">
      <c r="A27" s="31" t="s">
        <v>25</v>
      </c>
      <c r="B27" s="32" t="s">
        <v>149</v>
      </c>
      <c r="C27" s="32" t="s">
        <v>53</v>
      </c>
      <c r="D27" s="33" t="s">
        <v>39</v>
      </c>
      <c r="E27" s="33" t="s">
        <v>40</v>
      </c>
      <c r="F27" s="33" t="s">
        <v>30</v>
      </c>
      <c r="G27" s="33" t="s">
        <v>29</v>
      </c>
      <c r="H27" s="33" t="s">
        <v>30</v>
      </c>
      <c r="I27" s="33" t="s">
        <v>41</v>
      </c>
      <c r="J27" s="43" t="s">
        <v>150</v>
      </c>
      <c r="K27" s="33" t="s">
        <v>42</v>
      </c>
      <c r="L27" s="35">
        <v>26988.0</v>
      </c>
      <c r="M27" s="36" t="s">
        <v>151</v>
      </c>
      <c r="N27" s="37" t="s">
        <v>148</v>
      </c>
      <c r="O27" s="33" t="s">
        <v>35</v>
      </c>
      <c r="P27" s="37" t="s">
        <v>152</v>
      </c>
      <c r="Q27" s="32">
        <v>629430.0</v>
      </c>
      <c r="R27" s="32">
        <f t="shared" si="6"/>
        <v>22</v>
      </c>
      <c r="S27" s="66"/>
      <c r="T27" s="39">
        <v>45657.0</v>
      </c>
      <c r="U27" s="21"/>
      <c r="V27" s="29">
        <f t="shared" si="4"/>
        <v>51.14794521</v>
      </c>
      <c r="W27" s="30">
        <f t="shared" si="5"/>
        <v>52.68493151</v>
      </c>
      <c r="X27" s="21"/>
      <c r="Y27" s="21"/>
      <c r="Z27" s="21"/>
      <c r="AA27" s="21"/>
    </row>
    <row r="28" ht="33.75" customHeight="1">
      <c r="A28" s="31" t="s">
        <v>25</v>
      </c>
      <c r="B28" s="68" t="s">
        <v>153</v>
      </c>
      <c r="C28" s="32" t="s">
        <v>53</v>
      </c>
      <c r="D28" s="42" t="s">
        <v>76</v>
      </c>
      <c r="E28" s="33" t="s">
        <v>40</v>
      </c>
      <c r="F28" s="33" t="s">
        <v>30</v>
      </c>
      <c r="G28" s="33" t="s">
        <v>29</v>
      </c>
      <c r="H28" s="33" t="s">
        <v>30</v>
      </c>
      <c r="I28" s="33" t="s">
        <v>154</v>
      </c>
      <c r="J28" s="44" t="s">
        <v>155</v>
      </c>
      <c r="K28" s="33" t="s">
        <v>42</v>
      </c>
      <c r="L28" s="35">
        <v>29319.0</v>
      </c>
      <c r="M28" s="36" t="s">
        <v>156</v>
      </c>
      <c r="N28" s="37" t="s">
        <v>157</v>
      </c>
      <c r="O28" s="33" t="s">
        <v>35</v>
      </c>
      <c r="P28" s="37" t="s">
        <v>158</v>
      </c>
      <c r="Q28" s="32">
        <v>73236.0</v>
      </c>
      <c r="R28" s="32">
        <f t="shared" si="6"/>
        <v>23</v>
      </c>
      <c r="S28" s="27"/>
      <c r="T28" s="39">
        <v>45657.0</v>
      </c>
      <c r="U28" s="21"/>
      <c r="V28" s="29">
        <f t="shared" si="4"/>
        <v>44.76164384</v>
      </c>
      <c r="W28" s="30">
        <f t="shared" si="5"/>
        <v>46.29863014</v>
      </c>
      <c r="X28" s="21"/>
      <c r="Y28" s="21"/>
      <c r="Z28" s="21"/>
      <c r="AA28" s="21"/>
    </row>
    <row r="29" ht="33.75" customHeight="1">
      <c r="A29" s="31" t="s">
        <v>25</v>
      </c>
      <c r="B29" s="32" t="s">
        <v>159</v>
      </c>
      <c r="C29" s="32" t="s">
        <v>75</v>
      </c>
      <c r="D29" s="33" t="s">
        <v>39</v>
      </c>
      <c r="E29" s="33" t="s">
        <v>40</v>
      </c>
      <c r="F29" s="33" t="s">
        <v>30</v>
      </c>
      <c r="G29" s="33" t="s">
        <v>29</v>
      </c>
      <c r="H29" s="33" t="s">
        <v>30</v>
      </c>
      <c r="I29" s="33" t="s">
        <v>41</v>
      </c>
      <c r="J29" s="41"/>
      <c r="K29" s="33" t="s">
        <v>42</v>
      </c>
      <c r="L29" s="35">
        <v>29895.0</v>
      </c>
      <c r="M29" s="36" t="s">
        <v>160</v>
      </c>
      <c r="N29" s="37" t="s">
        <v>161</v>
      </c>
      <c r="O29" s="33" t="s">
        <v>35</v>
      </c>
      <c r="P29" s="37" t="s">
        <v>162</v>
      </c>
      <c r="Q29" s="32">
        <v>698781.0</v>
      </c>
      <c r="R29" s="32">
        <f t="shared" si="6"/>
        <v>24</v>
      </c>
      <c r="S29" s="66"/>
      <c r="T29" s="39">
        <v>45657.0</v>
      </c>
      <c r="U29" s="21"/>
      <c r="V29" s="29">
        <f t="shared" si="4"/>
        <v>43.18356164</v>
      </c>
      <c r="W29" s="30">
        <f t="shared" si="5"/>
        <v>44.72054795</v>
      </c>
      <c r="X29" s="21"/>
      <c r="Y29" s="21"/>
      <c r="Z29" s="21"/>
      <c r="AA29" s="21"/>
    </row>
    <row r="30" ht="33.75" customHeight="1">
      <c r="A30" s="31" t="s">
        <v>25</v>
      </c>
      <c r="B30" s="32" t="s">
        <v>163</v>
      </c>
      <c r="C30" s="32" t="s">
        <v>27</v>
      </c>
      <c r="D30" s="33" t="s">
        <v>54</v>
      </c>
      <c r="E30" s="33" t="s">
        <v>40</v>
      </c>
      <c r="F30" s="33" t="s">
        <v>30</v>
      </c>
      <c r="G30" s="33" t="s">
        <v>29</v>
      </c>
      <c r="H30" s="33" t="s">
        <v>30</v>
      </c>
      <c r="I30" s="33" t="s">
        <v>48</v>
      </c>
      <c r="J30" s="34" t="s">
        <v>164</v>
      </c>
      <c r="K30" s="33" t="s">
        <v>42</v>
      </c>
      <c r="L30" s="35">
        <v>21551.0</v>
      </c>
      <c r="M30" s="36" t="s">
        <v>165</v>
      </c>
      <c r="N30" s="37" t="s">
        <v>80</v>
      </c>
      <c r="O30" s="33" t="s">
        <v>56</v>
      </c>
      <c r="P30" s="37" t="s">
        <v>166</v>
      </c>
      <c r="Q30" s="32">
        <v>697260.0</v>
      </c>
      <c r="R30" s="32">
        <f t="shared" si="6"/>
        <v>25</v>
      </c>
      <c r="S30" s="66"/>
      <c r="T30" s="39">
        <v>45657.0</v>
      </c>
      <c r="U30" s="21"/>
      <c r="V30" s="29">
        <f t="shared" si="4"/>
        <v>66.04383562</v>
      </c>
      <c r="W30" s="30">
        <f t="shared" si="5"/>
        <v>67.58082192</v>
      </c>
      <c r="X30" s="21"/>
      <c r="Y30" s="21"/>
      <c r="Z30" s="21"/>
      <c r="AA30" s="21"/>
    </row>
    <row r="31" ht="33.75" customHeight="1">
      <c r="A31" s="31" t="s">
        <v>25</v>
      </c>
      <c r="B31" s="32" t="s">
        <v>167</v>
      </c>
      <c r="C31" s="32" t="s">
        <v>168</v>
      </c>
      <c r="D31" s="33" t="s">
        <v>39</v>
      </c>
      <c r="E31" s="33" t="s">
        <v>40</v>
      </c>
      <c r="F31" s="33" t="s">
        <v>30</v>
      </c>
      <c r="G31" s="33" t="s">
        <v>29</v>
      </c>
      <c r="H31" s="33" t="s">
        <v>30</v>
      </c>
      <c r="I31" s="33" t="s">
        <v>41</v>
      </c>
      <c r="J31" s="41"/>
      <c r="K31" s="33" t="s">
        <v>42</v>
      </c>
      <c r="L31" s="35">
        <v>27784.0</v>
      </c>
      <c r="M31" s="36" t="s">
        <v>169</v>
      </c>
      <c r="N31" s="37" t="s">
        <v>170</v>
      </c>
      <c r="O31" s="33" t="s">
        <v>35</v>
      </c>
      <c r="P31" s="37" t="s">
        <v>171</v>
      </c>
      <c r="Q31" s="32">
        <v>697262.0</v>
      </c>
      <c r="R31" s="32">
        <f t="shared" si="6"/>
        <v>26</v>
      </c>
      <c r="S31" s="27"/>
      <c r="T31" s="39">
        <v>45657.0</v>
      </c>
      <c r="U31" s="21"/>
      <c r="V31" s="29">
        <f t="shared" si="4"/>
        <v>48.96712329</v>
      </c>
      <c r="W31" s="30">
        <f t="shared" si="5"/>
        <v>50.50410959</v>
      </c>
      <c r="X31" s="21"/>
      <c r="Y31" s="21"/>
      <c r="Z31" s="21"/>
      <c r="AA31" s="21"/>
    </row>
    <row r="32" ht="33.75" customHeight="1">
      <c r="A32" s="31" t="s">
        <v>25</v>
      </c>
      <c r="B32" s="32" t="s">
        <v>172</v>
      </c>
      <c r="C32" s="32" t="s">
        <v>27</v>
      </c>
      <c r="D32" s="33" t="s">
        <v>54</v>
      </c>
      <c r="E32" s="33" t="s">
        <v>40</v>
      </c>
      <c r="F32" s="33" t="s">
        <v>30</v>
      </c>
      <c r="G32" s="33" t="s">
        <v>29</v>
      </c>
      <c r="H32" s="33" t="s">
        <v>30</v>
      </c>
      <c r="I32" s="33" t="s">
        <v>48</v>
      </c>
      <c r="J32" s="41"/>
      <c r="K32" s="33" t="s">
        <v>42</v>
      </c>
      <c r="L32" s="35">
        <v>19299.0</v>
      </c>
      <c r="M32" s="36" t="s">
        <v>173</v>
      </c>
      <c r="N32" s="37" t="s">
        <v>174</v>
      </c>
      <c r="O32" s="33" t="s">
        <v>56</v>
      </c>
      <c r="P32" s="37" t="s">
        <v>175</v>
      </c>
      <c r="Q32" s="32">
        <v>629414.0</v>
      </c>
      <c r="R32" s="32">
        <f t="shared" si="6"/>
        <v>27</v>
      </c>
      <c r="S32" s="27"/>
      <c r="T32" s="39">
        <v>45657.0</v>
      </c>
      <c r="U32" s="21"/>
      <c r="V32" s="29">
        <f t="shared" si="4"/>
        <v>72.21369863</v>
      </c>
      <c r="W32" s="30">
        <f t="shared" si="5"/>
        <v>73.75068493</v>
      </c>
      <c r="X32" s="21"/>
      <c r="Y32" s="21"/>
      <c r="Z32" s="21"/>
      <c r="AA32" s="21"/>
    </row>
    <row r="33" ht="33.75" customHeight="1">
      <c r="A33" s="31" t="s">
        <v>25</v>
      </c>
      <c r="B33" s="32" t="s">
        <v>176</v>
      </c>
      <c r="C33" s="32" t="s">
        <v>47</v>
      </c>
      <c r="D33" s="33" t="s">
        <v>39</v>
      </c>
      <c r="E33" s="33" t="s">
        <v>29</v>
      </c>
      <c r="F33" s="33" t="s">
        <v>30</v>
      </c>
      <c r="G33" s="33" t="s">
        <v>29</v>
      </c>
      <c r="H33" s="33" t="s">
        <v>30</v>
      </c>
      <c r="I33" s="33" t="s">
        <v>63</v>
      </c>
      <c r="J33" s="44" t="s">
        <v>177</v>
      </c>
      <c r="K33" s="33" t="s">
        <v>42</v>
      </c>
      <c r="L33" s="35">
        <v>22526.0</v>
      </c>
      <c r="M33" s="46" t="s">
        <v>178</v>
      </c>
      <c r="N33" s="37" t="s">
        <v>179</v>
      </c>
      <c r="O33" s="33" t="s">
        <v>56</v>
      </c>
      <c r="P33" s="37" t="s">
        <v>180</v>
      </c>
      <c r="Q33" s="32">
        <v>626872.0</v>
      </c>
      <c r="R33" s="32">
        <f t="shared" si="6"/>
        <v>28</v>
      </c>
      <c r="S33" s="27"/>
      <c r="T33" s="39">
        <v>45657.0</v>
      </c>
      <c r="U33" s="21"/>
      <c r="V33" s="29">
        <f t="shared" si="4"/>
        <v>63.37260274</v>
      </c>
      <c r="W33" s="30">
        <f t="shared" si="5"/>
        <v>64.90958904</v>
      </c>
      <c r="X33" s="21"/>
      <c r="Y33" s="21"/>
      <c r="Z33" s="21"/>
      <c r="AA33" s="21"/>
    </row>
    <row r="34" ht="33.75" customHeight="1">
      <c r="A34" s="38" t="s">
        <v>25</v>
      </c>
      <c r="B34" s="69"/>
      <c r="C34" s="32" t="s">
        <v>27</v>
      </c>
      <c r="D34" s="33" t="s">
        <v>54</v>
      </c>
      <c r="E34" s="42" t="s">
        <v>40</v>
      </c>
      <c r="F34" s="33" t="s">
        <v>30</v>
      </c>
      <c r="G34" s="33" t="s">
        <v>29</v>
      </c>
      <c r="H34" s="33" t="s">
        <v>30</v>
      </c>
      <c r="I34" s="42" t="s">
        <v>48</v>
      </c>
      <c r="J34" s="49"/>
      <c r="K34" s="42" t="s">
        <v>42</v>
      </c>
      <c r="L34" s="45">
        <v>27546.0</v>
      </c>
      <c r="M34" s="46" t="s">
        <v>181</v>
      </c>
      <c r="N34" s="47" t="s">
        <v>182</v>
      </c>
      <c r="O34" s="42" t="s">
        <v>35</v>
      </c>
      <c r="P34" s="48" t="s">
        <v>183</v>
      </c>
      <c r="Q34" s="38">
        <v>696346.0</v>
      </c>
      <c r="R34" s="38">
        <f t="shared" si="6"/>
        <v>29</v>
      </c>
      <c r="S34" s="27"/>
      <c r="T34" s="39">
        <v>45657.0</v>
      </c>
      <c r="U34" s="21"/>
      <c r="V34" s="29">
        <f t="shared" si="4"/>
        <v>49.61917808</v>
      </c>
      <c r="W34" s="30">
        <f t="shared" si="5"/>
        <v>51.15616438</v>
      </c>
      <c r="X34" s="21"/>
      <c r="Y34" s="21"/>
      <c r="Z34" s="21"/>
      <c r="AA34" s="21"/>
    </row>
    <row r="35" ht="33.75" customHeight="1">
      <c r="A35" s="38" t="s">
        <v>25</v>
      </c>
      <c r="B35" s="32" t="s">
        <v>184</v>
      </c>
      <c r="C35" s="32" t="s">
        <v>27</v>
      </c>
      <c r="D35" s="33" t="s">
        <v>39</v>
      </c>
      <c r="E35" s="42" t="s">
        <v>40</v>
      </c>
      <c r="F35" s="33" t="s">
        <v>30</v>
      </c>
      <c r="G35" s="33" t="s">
        <v>29</v>
      </c>
      <c r="H35" s="33" t="s">
        <v>30</v>
      </c>
      <c r="I35" s="42" t="s">
        <v>41</v>
      </c>
      <c r="J35" s="44" t="s">
        <v>185</v>
      </c>
      <c r="K35" s="42" t="s">
        <v>42</v>
      </c>
      <c r="L35" s="45">
        <v>26511.0</v>
      </c>
      <c r="M35" s="50" t="s">
        <v>186</v>
      </c>
      <c r="N35" s="47" t="s">
        <v>187</v>
      </c>
      <c r="O35" s="42" t="s">
        <v>35</v>
      </c>
      <c r="P35" s="48" t="s">
        <v>188</v>
      </c>
      <c r="Q35" s="38">
        <v>626847.0</v>
      </c>
      <c r="R35" s="32">
        <f t="shared" si="6"/>
        <v>30</v>
      </c>
      <c r="S35" s="67"/>
      <c r="T35" s="39">
        <v>45657.0</v>
      </c>
      <c r="U35" s="21"/>
      <c r="V35" s="29">
        <f t="shared" si="4"/>
        <v>52.45479452</v>
      </c>
      <c r="W35" s="30">
        <f t="shared" si="5"/>
        <v>53.99178082</v>
      </c>
      <c r="X35" s="21"/>
      <c r="Y35" s="21"/>
      <c r="Z35" s="21"/>
      <c r="AA35" s="21"/>
    </row>
    <row r="36" ht="33.75" customHeight="1">
      <c r="A36" s="38" t="s">
        <v>25</v>
      </c>
      <c r="B36" s="38" t="s">
        <v>189</v>
      </c>
      <c r="C36" s="38" t="s">
        <v>27</v>
      </c>
      <c r="D36" s="42" t="s">
        <v>76</v>
      </c>
      <c r="E36" s="42" t="s">
        <v>40</v>
      </c>
      <c r="F36" s="33" t="s">
        <v>30</v>
      </c>
      <c r="G36" s="33" t="s">
        <v>29</v>
      </c>
      <c r="H36" s="33" t="s">
        <v>30</v>
      </c>
      <c r="I36" s="33" t="s">
        <v>48</v>
      </c>
      <c r="J36" s="49"/>
      <c r="K36" s="42" t="s">
        <v>42</v>
      </c>
      <c r="L36" s="45">
        <v>25571.0</v>
      </c>
      <c r="M36" s="50" t="s">
        <v>190</v>
      </c>
      <c r="N36" s="47" t="s">
        <v>191</v>
      </c>
      <c r="O36" s="42" t="s">
        <v>35</v>
      </c>
      <c r="P36" s="48" t="s">
        <v>192</v>
      </c>
      <c r="Q36" s="38">
        <v>700623.0</v>
      </c>
      <c r="R36" s="32">
        <f t="shared" si="6"/>
        <v>31</v>
      </c>
      <c r="S36" s="27"/>
      <c r="T36" s="39">
        <v>45657.0</v>
      </c>
      <c r="U36" s="21"/>
      <c r="V36" s="29">
        <f t="shared" si="4"/>
        <v>55.03013699</v>
      </c>
      <c r="W36" s="30">
        <f t="shared" si="5"/>
        <v>56.56712329</v>
      </c>
      <c r="X36" s="21"/>
      <c r="Y36" s="21"/>
      <c r="Z36" s="21"/>
      <c r="AA36" s="21"/>
    </row>
    <row r="37" ht="33.75" customHeight="1">
      <c r="A37" s="31" t="s">
        <v>25</v>
      </c>
      <c r="B37" s="69"/>
      <c r="C37" s="32" t="s">
        <v>53</v>
      </c>
      <c r="D37" s="33" t="s">
        <v>54</v>
      </c>
      <c r="E37" s="33" t="s">
        <v>40</v>
      </c>
      <c r="F37" s="33" t="s">
        <v>30</v>
      </c>
      <c r="G37" s="33" t="s">
        <v>29</v>
      </c>
      <c r="H37" s="33" t="s">
        <v>30</v>
      </c>
      <c r="I37" s="33" t="s">
        <v>31</v>
      </c>
      <c r="J37" s="33" t="s">
        <v>40</v>
      </c>
      <c r="K37" s="33" t="s">
        <v>42</v>
      </c>
      <c r="L37" s="35">
        <v>22922.0</v>
      </c>
      <c r="M37" s="36" t="s">
        <v>193</v>
      </c>
      <c r="N37" s="37" t="s">
        <v>194</v>
      </c>
      <c r="O37" s="33" t="s">
        <v>56</v>
      </c>
      <c r="P37" s="37" t="s">
        <v>195</v>
      </c>
      <c r="Q37" s="38">
        <v>694921.0</v>
      </c>
      <c r="R37" s="32">
        <f t="shared" si="6"/>
        <v>32</v>
      </c>
      <c r="S37" s="67"/>
      <c r="T37" s="39">
        <v>45657.0</v>
      </c>
      <c r="U37" s="21"/>
      <c r="V37" s="29">
        <f t="shared" si="4"/>
        <v>62.28767123</v>
      </c>
      <c r="W37" s="30">
        <f t="shared" si="5"/>
        <v>63.82465753</v>
      </c>
      <c r="X37" s="21"/>
      <c r="Y37" s="21"/>
      <c r="Z37" s="21"/>
      <c r="AA37" s="21"/>
    </row>
    <row r="38" ht="33.75" customHeight="1">
      <c r="A38" s="38" t="s">
        <v>25</v>
      </c>
      <c r="B38" s="52" t="s">
        <v>196</v>
      </c>
      <c r="C38" s="52" t="s">
        <v>53</v>
      </c>
      <c r="D38" s="53" t="s">
        <v>54</v>
      </c>
      <c r="E38" s="53" t="s">
        <v>96</v>
      </c>
      <c r="F38" s="53" t="s">
        <v>97</v>
      </c>
      <c r="G38" s="53" t="s">
        <v>98</v>
      </c>
      <c r="H38" s="53" t="s">
        <v>30</v>
      </c>
      <c r="I38" s="53" t="s">
        <v>111</v>
      </c>
      <c r="J38" s="53" t="s">
        <v>40</v>
      </c>
      <c r="K38" s="53" t="s">
        <v>42</v>
      </c>
      <c r="L38" s="70">
        <v>18272.0</v>
      </c>
      <c r="M38" s="71" t="s">
        <v>197</v>
      </c>
      <c r="N38" s="47" t="s">
        <v>198</v>
      </c>
      <c r="O38" s="53" t="s">
        <v>56</v>
      </c>
      <c r="P38" s="47" t="s">
        <v>199</v>
      </c>
      <c r="Q38" s="38">
        <v>702392.0</v>
      </c>
      <c r="R38" s="32">
        <f t="shared" si="6"/>
        <v>33</v>
      </c>
      <c r="S38" s="66"/>
      <c r="T38" s="39">
        <v>45657.0</v>
      </c>
      <c r="U38" s="21"/>
      <c r="V38" s="29">
        <f t="shared" si="4"/>
        <v>75.02739726</v>
      </c>
      <c r="W38" s="30">
        <f t="shared" si="5"/>
        <v>76.56438356</v>
      </c>
      <c r="X38" s="21"/>
      <c r="Y38" s="21"/>
      <c r="Z38" s="21"/>
      <c r="AA38" s="21"/>
    </row>
    <row r="39">
      <c r="A39" s="1"/>
      <c r="B39" s="1"/>
      <c r="C39" s="1"/>
      <c r="D39" s="1"/>
      <c r="E39" s="1"/>
      <c r="F39" s="1"/>
      <c r="G39" s="1"/>
      <c r="H39" s="1"/>
      <c r="I39" s="1"/>
      <c r="J39" s="72"/>
      <c r="K39" s="1"/>
      <c r="L39" s="2"/>
      <c r="M39" s="1"/>
      <c r="N39" s="1"/>
      <c r="O39" s="1"/>
      <c r="P39" s="73"/>
      <c r="Q39" s="1"/>
      <c r="R39" s="1"/>
      <c r="S39" s="1"/>
      <c r="T39" s="2"/>
      <c r="U39" s="1"/>
      <c r="V39" s="1"/>
      <c r="W39" s="1"/>
      <c r="X39" s="1"/>
      <c r="Y39" s="1"/>
      <c r="Z39" s="1"/>
      <c r="AA39" s="1"/>
    </row>
    <row r="40">
      <c r="A40" s="1"/>
      <c r="B40" s="1"/>
      <c r="C40" s="1"/>
      <c r="D40" s="1"/>
      <c r="E40" s="1"/>
      <c r="F40" s="1"/>
      <c r="G40" s="1"/>
      <c r="H40" s="1"/>
      <c r="I40" s="1"/>
      <c r="J40" s="72"/>
      <c r="K40" s="1"/>
      <c r="L40" s="2"/>
      <c r="M40" s="1"/>
      <c r="N40" s="1"/>
      <c r="O40" s="1"/>
      <c r="P40" s="73"/>
      <c r="Q40" s="1"/>
      <c r="R40" s="1"/>
      <c r="S40" s="1"/>
      <c r="T40" s="2"/>
      <c r="U40" s="1"/>
      <c r="V40" s="1"/>
      <c r="W40" s="1"/>
      <c r="X40" s="1"/>
      <c r="Y40" s="1"/>
      <c r="Z40" s="1"/>
      <c r="AA40" s="1"/>
    </row>
    <row r="41">
      <c r="A41" s="1"/>
      <c r="B41" s="1"/>
      <c r="C41" s="1"/>
      <c r="D41" s="9"/>
      <c r="E41" s="25"/>
      <c r="F41" s="25"/>
      <c r="G41" s="25"/>
      <c r="H41" s="1"/>
      <c r="I41" s="74" t="s">
        <v>200</v>
      </c>
      <c r="L41" s="2"/>
      <c r="M41" s="1"/>
      <c r="N41" s="9"/>
      <c r="O41" s="25"/>
      <c r="P41" s="75" t="s">
        <v>201</v>
      </c>
      <c r="S41" s="1"/>
      <c r="T41" s="2"/>
      <c r="U41" s="1"/>
      <c r="V41" s="1"/>
      <c r="W41" s="1"/>
      <c r="X41" s="1"/>
      <c r="Y41" s="1"/>
      <c r="Z41" s="1"/>
      <c r="AA41" s="1"/>
    </row>
    <row r="42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2"/>
      <c r="M42" s="1"/>
      <c r="N42" s="1"/>
      <c r="O42" s="1"/>
      <c r="P42" s="73"/>
      <c r="Q42" s="1"/>
      <c r="R42" s="1"/>
      <c r="S42" s="1"/>
      <c r="T42" s="2"/>
      <c r="U42" s="1"/>
      <c r="V42" s="1"/>
      <c r="W42" s="1"/>
      <c r="X42" s="1"/>
      <c r="Y42" s="1"/>
      <c r="Z42" s="1"/>
      <c r="AA42" s="1"/>
    </row>
    <row r="43">
      <c r="A43" s="1"/>
      <c r="B43" s="1"/>
      <c r="C43" s="1"/>
      <c r="D43" s="1"/>
      <c r="E43" s="1"/>
      <c r="F43" s="1"/>
      <c r="G43" s="1"/>
      <c r="H43" s="1"/>
      <c r="I43" s="1"/>
      <c r="J43" s="72"/>
      <c r="K43" s="1"/>
      <c r="L43" s="2"/>
      <c r="M43" s="2"/>
      <c r="N43" s="76">
        <v>44865.0</v>
      </c>
      <c r="O43" s="25"/>
      <c r="P43" s="77" t="s">
        <v>202</v>
      </c>
      <c r="S43" s="1"/>
      <c r="T43" s="2"/>
      <c r="U43" s="1"/>
      <c r="V43" s="1"/>
      <c r="W43" s="1"/>
      <c r="X43" s="1"/>
      <c r="Y43" s="1"/>
      <c r="Z43" s="1"/>
      <c r="AA43" s="1"/>
    </row>
    <row r="44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73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</row>
  </sheetData>
  <mergeCells count="16">
    <mergeCell ref="C1:E1"/>
    <mergeCell ref="F1:H1"/>
    <mergeCell ref="I1:J1"/>
    <mergeCell ref="K1:L1"/>
    <mergeCell ref="N1:O1"/>
    <mergeCell ref="P1:R1"/>
    <mergeCell ref="E3:F3"/>
    <mergeCell ref="N43:O43"/>
    <mergeCell ref="P43:R43"/>
    <mergeCell ref="G3:H3"/>
    <mergeCell ref="A4:R4"/>
    <mergeCell ref="A21:R21"/>
    <mergeCell ref="D41:G41"/>
    <mergeCell ref="I41:K41"/>
    <mergeCell ref="N41:O41"/>
    <mergeCell ref="P41:R4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9.38"/>
    <col customWidth="1" min="3" max="3" width="14.38"/>
    <col customWidth="1" min="4" max="4" width="10.63"/>
    <col customWidth="1" min="5" max="5" width="10.13"/>
    <col customWidth="1" min="11" max="11" width="12.5"/>
    <col customWidth="1" min="12" max="12" width="12.13"/>
    <col customWidth="1" min="13" max="13" width="15.88"/>
    <col customWidth="1" min="14" max="14" width="29.75"/>
    <col customWidth="1" min="15" max="15" width="20.88"/>
    <col customWidth="1" min="16" max="16" width="27.38"/>
  </cols>
  <sheetData>
    <row r="1">
      <c r="A1" s="1"/>
      <c r="B1" s="2"/>
      <c r="C1" s="3">
        <v>45596.0</v>
      </c>
      <c r="D1" s="4"/>
      <c r="E1" s="4"/>
      <c r="F1" s="5" t="s">
        <v>0</v>
      </c>
      <c r="I1" s="6" t="s">
        <v>1</v>
      </c>
      <c r="J1" s="4"/>
      <c r="K1" s="5" t="s">
        <v>2</v>
      </c>
      <c r="M1" s="1"/>
      <c r="N1" s="7" t="s">
        <v>3</v>
      </c>
      <c r="O1" s="4"/>
      <c r="P1" s="8" t="s">
        <v>4</v>
      </c>
      <c r="S1" s="1"/>
      <c r="T1" s="2"/>
      <c r="U1" s="1"/>
      <c r="V1" s="1"/>
      <c r="W1" s="1"/>
      <c r="X1" s="1"/>
      <c r="Y1" s="1"/>
      <c r="Z1" s="1"/>
      <c r="AA1" s="1"/>
    </row>
    <row r="2">
      <c r="A2" s="9"/>
      <c r="B2" s="9"/>
      <c r="C2" s="9"/>
      <c r="D2" s="9"/>
      <c r="E2" s="9"/>
      <c r="F2" s="9"/>
      <c r="G2" s="9"/>
      <c r="H2" s="9"/>
      <c r="I2" s="9"/>
      <c r="J2" s="10"/>
      <c r="K2" s="9"/>
      <c r="L2" s="11"/>
      <c r="M2" s="1"/>
      <c r="N2" s="9"/>
      <c r="O2" s="9"/>
      <c r="P2" s="12"/>
      <c r="Q2" s="9"/>
      <c r="R2" s="9"/>
      <c r="S2" s="1"/>
      <c r="T2" s="11"/>
      <c r="U2" s="1"/>
      <c r="V2" s="1"/>
      <c r="W2" s="1"/>
      <c r="X2" s="1"/>
      <c r="Y2" s="1"/>
      <c r="Z2" s="1"/>
      <c r="AA2" s="1"/>
    </row>
    <row r="3" ht="33.75" customHeight="1">
      <c r="A3" s="13" t="s">
        <v>5</v>
      </c>
      <c r="B3" s="13" t="s">
        <v>6</v>
      </c>
      <c r="C3" s="13" t="s">
        <v>7</v>
      </c>
      <c r="D3" s="13" t="s">
        <v>8</v>
      </c>
      <c r="E3" s="14" t="s">
        <v>9</v>
      </c>
      <c r="F3" s="15"/>
      <c r="G3" s="14" t="s">
        <v>10</v>
      </c>
      <c r="H3" s="15"/>
      <c r="I3" s="13" t="s">
        <v>11</v>
      </c>
      <c r="J3" s="16" t="s">
        <v>12</v>
      </c>
      <c r="K3" s="13" t="s">
        <v>13</v>
      </c>
      <c r="L3" s="13" t="s">
        <v>14</v>
      </c>
      <c r="M3" s="13" t="s">
        <v>15</v>
      </c>
      <c r="N3" s="17" t="s">
        <v>16</v>
      </c>
      <c r="O3" s="13" t="s">
        <v>17</v>
      </c>
      <c r="P3" s="18" t="s">
        <v>18</v>
      </c>
      <c r="Q3" s="13" t="s">
        <v>19</v>
      </c>
      <c r="R3" s="13" t="s">
        <v>20</v>
      </c>
      <c r="S3" s="19"/>
      <c r="T3" s="20" t="s">
        <v>21</v>
      </c>
      <c r="U3" s="21"/>
      <c r="V3" s="78" t="s">
        <v>22</v>
      </c>
      <c r="W3" s="79" t="s">
        <v>23</v>
      </c>
      <c r="X3" s="21"/>
      <c r="Y3" s="21"/>
      <c r="Z3" s="21"/>
      <c r="AA3" s="21"/>
    </row>
    <row r="4" ht="33.75" customHeight="1">
      <c r="A4" s="24" t="s">
        <v>24</v>
      </c>
      <c r="B4" s="25"/>
      <c r="C4" s="25"/>
      <c r="D4" s="25"/>
      <c r="E4" s="25"/>
      <c r="F4" s="25"/>
      <c r="G4" s="25"/>
      <c r="H4" s="25"/>
      <c r="I4" s="25"/>
      <c r="J4" s="25"/>
      <c r="K4" s="25"/>
      <c r="L4" s="25"/>
      <c r="M4" s="25"/>
      <c r="N4" s="25"/>
      <c r="O4" s="25"/>
      <c r="P4" s="25"/>
      <c r="Q4" s="25"/>
      <c r="R4" s="26"/>
      <c r="S4" s="27"/>
      <c r="T4" s="28"/>
      <c r="U4" s="21"/>
      <c r="V4" s="80"/>
      <c r="W4" s="81"/>
      <c r="X4" s="21"/>
      <c r="Y4" s="21"/>
      <c r="Z4" s="21"/>
      <c r="AA4" s="21"/>
    </row>
    <row r="5" ht="33.75" customHeight="1">
      <c r="A5" s="31" t="s">
        <v>25</v>
      </c>
      <c r="B5" s="32" t="s">
        <v>26</v>
      </c>
      <c r="C5" s="32" t="s">
        <v>27</v>
      </c>
      <c r="D5" s="33" t="s">
        <v>28</v>
      </c>
      <c r="E5" s="33" t="s">
        <v>29</v>
      </c>
      <c r="F5" s="33" t="s">
        <v>30</v>
      </c>
      <c r="G5" s="33" t="s">
        <v>29</v>
      </c>
      <c r="H5" s="33" t="s">
        <v>30</v>
      </c>
      <c r="I5" s="33" t="s">
        <v>31</v>
      </c>
      <c r="J5" s="34" t="s">
        <v>32</v>
      </c>
      <c r="K5" s="32">
        <v>1994.0</v>
      </c>
      <c r="L5" s="35">
        <v>29758.0</v>
      </c>
      <c r="M5" s="36" t="s">
        <v>33</v>
      </c>
      <c r="N5" s="37" t="s">
        <v>34</v>
      </c>
      <c r="O5" s="33" t="s">
        <v>35</v>
      </c>
      <c r="P5" s="37" t="s">
        <v>36</v>
      </c>
      <c r="Q5" s="38">
        <v>85855.0</v>
      </c>
      <c r="R5" s="32">
        <v>1.0</v>
      </c>
      <c r="S5" s="82"/>
      <c r="T5" s="65">
        <v>45565.0</v>
      </c>
      <c r="U5" s="21"/>
      <c r="V5" s="80">
        <f t="shared" ref="V5:V20" si="1">(T5-L5)/365</f>
        <v>43.30684932</v>
      </c>
      <c r="W5" s="81">
        <f t="shared" ref="W5:W20" si="2">(TODAY()-L5)/365</f>
        <v>45.09589041</v>
      </c>
      <c r="X5" s="21"/>
      <c r="Y5" s="21"/>
      <c r="Z5" s="21"/>
      <c r="AA5" s="21"/>
    </row>
    <row r="6" ht="33.75" customHeight="1">
      <c r="A6" s="31" t="s">
        <v>37</v>
      </c>
      <c r="B6" s="32" t="s">
        <v>38</v>
      </c>
      <c r="C6" s="32" t="s">
        <v>27</v>
      </c>
      <c r="D6" s="33" t="s">
        <v>39</v>
      </c>
      <c r="E6" s="33" t="s">
        <v>40</v>
      </c>
      <c r="F6" s="33" t="s">
        <v>30</v>
      </c>
      <c r="G6" s="33" t="s">
        <v>29</v>
      </c>
      <c r="H6" s="33" t="s">
        <v>30</v>
      </c>
      <c r="I6" s="33" t="s">
        <v>41</v>
      </c>
      <c r="J6" s="40">
        <v>0.0</v>
      </c>
      <c r="K6" s="33" t="s">
        <v>42</v>
      </c>
      <c r="L6" s="35">
        <v>26511.0</v>
      </c>
      <c r="M6" s="36" t="s">
        <v>43</v>
      </c>
      <c r="N6" s="37" t="s">
        <v>44</v>
      </c>
      <c r="O6" s="33" t="s">
        <v>35</v>
      </c>
      <c r="P6" s="37" t="s">
        <v>45</v>
      </c>
      <c r="Q6" s="32">
        <v>629409.0</v>
      </c>
      <c r="R6" s="32">
        <f t="shared" ref="R6:R20" si="3">R5+1</f>
        <v>2</v>
      </c>
      <c r="S6" s="83"/>
      <c r="T6" s="65">
        <v>45565.0</v>
      </c>
      <c r="U6" s="21"/>
      <c r="V6" s="80">
        <f t="shared" si="1"/>
        <v>52.20273973</v>
      </c>
      <c r="W6" s="81">
        <f t="shared" si="2"/>
        <v>53.99178082</v>
      </c>
      <c r="X6" s="21"/>
      <c r="Y6" s="21"/>
      <c r="Z6" s="21"/>
      <c r="AA6" s="21"/>
    </row>
    <row r="7" ht="33.75" customHeight="1">
      <c r="A7" s="31" t="s">
        <v>37</v>
      </c>
      <c r="B7" s="32" t="s">
        <v>46</v>
      </c>
      <c r="C7" s="32" t="s">
        <v>47</v>
      </c>
      <c r="D7" s="33" t="s">
        <v>39</v>
      </c>
      <c r="E7" s="33" t="s">
        <v>40</v>
      </c>
      <c r="F7" s="33" t="s">
        <v>30</v>
      </c>
      <c r="G7" s="33" t="s">
        <v>29</v>
      </c>
      <c r="H7" s="33" t="s">
        <v>30</v>
      </c>
      <c r="I7" s="33" t="s">
        <v>48</v>
      </c>
      <c r="J7" s="40">
        <v>0.0</v>
      </c>
      <c r="K7" s="33" t="s">
        <v>42</v>
      </c>
      <c r="L7" s="35">
        <v>27595.0</v>
      </c>
      <c r="M7" s="36" t="s">
        <v>49</v>
      </c>
      <c r="N7" s="37" t="s">
        <v>50</v>
      </c>
      <c r="O7" s="33" t="s">
        <v>35</v>
      </c>
      <c r="P7" s="37" t="s">
        <v>51</v>
      </c>
      <c r="Q7" s="32">
        <v>691771.0</v>
      </c>
      <c r="R7" s="32">
        <f t="shared" si="3"/>
        <v>3</v>
      </c>
      <c r="S7" s="83"/>
      <c r="T7" s="65">
        <v>45565.0</v>
      </c>
      <c r="U7" s="21"/>
      <c r="V7" s="80">
        <f t="shared" si="1"/>
        <v>49.23287671</v>
      </c>
      <c r="W7" s="81">
        <f t="shared" si="2"/>
        <v>51.02191781</v>
      </c>
      <c r="X7" s="21"/>
      <c r="Y7" s="21"/>
      <c r="Z7" s="21"/>
      <c r="AA7" s="21"/>
    </row>
    <row r="8" ht="33.75" customHeight="1">
      <c r="A8" s="31" t="s">
        <v>25</v>
      </c>
      <c r="B8" s="32" t="s">
        <v>52</v>
      </c>
      <c r="C8" s="32" t="s">
        <v>53</v>
      </c>
      <c r="D8" s="33" t="s">
        <v>54</v>
      </c>
      <c r="E8" s="33" t="s">
        <v>40</v>
      </c>
      <c r="F8" s="33" t="s">
        <v>30</v>
      </c>
      <c r="G8" s="33" t="s">
        <v>29</v>
      </c>
      <c r="H8" s="33" t="s">
        <v>30</v>
      </c>
      <c r="I8" s="33" t="s">
        <v>41</v>
      </c>
      <c r="J8" s="41"/>
      <c r="K8" s="33" t="s">
        <v>42</v>
      </c>
      <c r="L8" s="35">
        <v>17434.0</v>
      </c>
      <c r="M8" s="36" t="s">
        <v>49</v>
      </c>
      <c r="N8" s="37" t="s">
        <v>55</v>
      </c>
      <c r="O8" s="33" t="s">
        <v>56</v>
      </c>
      <c r="P8" s="37" t="s">
        <v>50</v>
      </c>
      <c r="Q8" s="32">
        <v>600790.0</v>
      </c>
      <c r="R8" s="32">
        <f t="shared" si="3"/>
        <v>4</v>
      </c>
      <c r="S8" s="83"/>
      <c r="T8" s="65">
        <v>45565.0</v>
      </c>
      <c r="U8" s="21"/>
      <c r="V8" s="80">
        <f t="shared" si="1"/>
        <v>77.07123288</v>
      </c>
      <c r="W8" s="81">
        <f t="shared" si="2"/>
        <v>78.86027397</v>
      </c>
      <c r="X8" s="21"/>
      <c r="Y8" s="21"/>
      <c r="Z8" s="21"/>
      <c r="AA8" s="21"/>
    </row>
    <row r="9" ht="33.75" customHeight="1">
      <c r="A9" s="31" t="s">
        <v>25</v>
      </c>
      <c r="B9" s="32" t="s">
        <v>57</v>
      </c>
      <c r="C9" s="32" t="s">
        <v>27</v>
      </c>
      <c r="D9" s="33" t="s">
        <v>54</v>
      </c>
      <c r="E9" s="33" t="s">
        <v>40</v>
      </c>
      <c r="F9" s="33" t="s">
        <v>30</v>
      </c>
      <c r="G9" s="33" t="s">
        <v>29</v>
      </c>
      <c r="H9" s="33" t="s">
        <v>30</v>
      </c>
      <c r="I9" s="42" t="s">
        <v>58</v>
      </c>
      <c r="J9" s="41"/>
      <c r="K9" s="33" t="s">
        <v>42</v>
      </c>
      <c r="L9" s="35">
        <v>20261.0</v>
      </c>
      <c r="M9" s="36" t="s">
        <v>59</v>
      </c>
      <c r="N9" s="37" t="s">
        <v>60</v>
      </c>
      <c r="O9" s="33" t="s">
        <v>56</v>
      </c>
      <c r="P9" s="37" t="s">
        <v>61</v>
      </c>
      <c r="Q9" s="32">
        <v>696347.0</v>
      </c>
      <c r="R9" s="32">
        <f t="shared" si="3"/>
        <v>5</v>
      </c>
      <c r="S9" s="37"/>
      <c r="T9" s="65">
        <v>45565.0</v>
      </c>
      <c r="U9" s="21"/>
      <c r="V9" s="80">
        <f t="shared" si="1"/>
        <v>69.3260274</v>
      </c>
      <c r="W9" s="81">
        <f t="shared" si="2"/>
        <v>71.11506849</v>
      </c>
      <c r="X9" s="21"/>
      <c r="Y9" s="21"/>
      <c r="Z9" s="21"/>
      <c r="AA9" s="21"/>
    </row>
    <row r="10" ht="33.75" customHeight="1">
      <c r="A10" s="31" t="s">
        <v>25</v>
      </c>
      <c r="B10" s="32" t="s">
        <v>62</v>
      </c>
      <c r="C10" s="32" t="s">
        <v>53</v>
      </c>
      <c r="D10" s="33" t="s">
        <v>54</v>
      </c>
      <c r="E10" s="33" t="s">
        <v>40</v>
      </c>
      <c r="F10" s="33" t="s">
        <v>30</v>
      </c>
      <c r="G10" s="33" t="s">
        <v>29</v>
      </c>
      <c r="H10" s="33" t="s">
        <v>30</v>
      </c>
      <c r="I10" s="33" t="s">
        <v>63</v>
      </c>
      <c r="J10" s="34" t="s">
        <v>64</v>
      </c>
      <c r="K10" s="33" t="s">
        <v>42</v>
      </c>
      <c r="L10" s="35">
        <v>19786.0</v>
      </c>
      <c r="M10" s="36" t="s">
        <v>65</v>
      </c>
      <c r="N10" s="37" t="s">
        <v>66</v>
      </c>
      <c r="O10" s="33" t="s">
        <v>56</v>
      </c>
      <c r="P10" s="37" t="s">
        <v>67</v>
      </c>
      <c r="Q10" s="32">
        <v>633185.0</v>
      </c>
      <c r="R10" s="32">
        <f t="shared" si="3"/>
        <v>6</v>
      </c>
      <c r="S10" s="82"/>
      <c r="T10" s="65">
        <v>45565.0</v>
      </c>
      <c r="U10" s="21"/>
      <c r="V10" s="80">
        <f t="shared" si="1"/>
        <v>70.62739726</v>
      </c>
      <c r="W10" s="81">
        <f t="shared" si="2"/>
        <v>72.41643836</v>
      </c>
      <c r="X10" s="21"/>
      <c r="Y10" s="21"/>
      <c r="Z10" s="21"/>
      <c r="AA10" s="21"/>
    </row>
    <row r="11" ht="33.75" customHeight="1">
      <c r="A11" s="31" t="s">
        <v>25</v>
      </c>
      <c r="B11" s="32" t="s">
        <v>68</v>
      </c>
      <c r="C11" s="32" t="s">
        <v>69</v>
      </c>
      <c r="D11" s="33" t="s">
        <v>39</v>
      </c>
      <c r="E11" s="33" t="s">
        <v>40</v>
      </c>
      <c r="F11" s="33" t="s">
        <v>30</v>
      </c>
      <c r="G11" s="33" t="s">
        <v>29</v>
      </c>
      <c r="H11" s="33" t="s">
        <v>30</v>
      </c>
      <c r="I11" s="33" t="s">
        <v>48</v>
      </c>
      <c r="J11" s="43" t="s">
        <v>70</v>
      </c>
      <c r="K11" s="33" t="s">
        <v>42</v>
      </c>
      <c r="L11" s="35">
        <v>23531.0</v>
      </c>
      <c r="M11" s="36" t="s">
        <v>71</v>
      </c>
      <c r="N11" s="37" t="s">
        <v>72</v>
      </c>
      <c r="O11" s="33" t="s">
        <v>56</v>
      </c>
      <c r="P11" s="37" t="s">
        <v>73</v>
      </c>
      <c r="Q11" s="32">
        <v>626887.0</v>
      </c>
      <c r="R11" s="32">
        <f t="shared" si="3"/>
        <v>7</v>
      </c>
      <c r="S11" s="82"/>
      <c r="T11" s="65">
        <v>45565.0</v>
      </c>
      <c r="U11" s="21"/>
      <c r="V11" s="80">
        <f t="shared" si="1"/>
        <v>60.36712329</v>
      </c>
      <c r="W11" s="81">
        <f t="shared" si="2"/>
        <v>62.15616438</v>
      </c>
      <c r="X11" s="21"/>
      <c r="Y11" s="21"/>
      <c r="Z11" s="21"/>
      <c r="AA11" s="21"/>
    </row>
    <row r="12" ht="33.75" customHeight="1">
      <c r="A12" s="38" t="s">
        <v>25</v>
      </c>
      <c r="B12" s="38" t="s">
        <v>74</v>
      </c>
      <c r="C12" s="38" t="s">
        <v>75</v>
      </c>
      <c r="D12" s="42" t="s">
        <v>76</v>
      </c>
      <c r="E12" s="42" t="s">
        <v>40</v>
      </c>
      <c r="F12" s="33" t="s">
        <v>30</v>
      </c>
      <c r="G12" s="33" t="s">
        <v>29</v>
      </c>
      <c r="H12" s="33" t="s">
        <v>30</v>
      </c>
      <c r="I12" s="42" t="s">
        <v>41</v>
      </c>
      <c r="J12" s="44" t="s">
        <v>77</v>
      </c>
      <c r="K12" s="42" t="s">
        <v>42</v>
      </c>
      <c r="L12" s="45">
        <v>30189.0</v>
      </c>
      <c r="M12" s="46" t="s">
        <v>78</v>
      </c>
      <c r="N12" s="47" t="s">
        <v>79</v>
      </c>
      <c r="O12" s="42" t="s">
        <v>35</v>
      </c>
      <c r="P12" s="48" t="s">
        <v>80</v>
      </c>
      <c r="Q12" s="38">
        <v>699653.0</v>
      </c>
      <c r="R12" s="32">
        <f t="shared" si="3"/>
        <v>8</v>
      </c>
      <c r="S12" s="82"/>
      <c r="T12" s="65">
        <v>45565.0</v>
      </c>
      <c r="U12" s="21"/>
      <c r="V12" s="80">
        <f t="shared" si="1"/>
        <v>42.1260274</v>
      </c>
      <c r="W12" s="81">
        <f t="shared" si="2"/>
        <v>43.91506849</v>
      </c>
      <c r="X12" s="21"/>
      <c r="Y12" s="21"/>
      <c r="Z12" s="21"/>
      <c r="AA12" s="21"/>
    </row>
    <row r="13" ht="33.75" customHeight="1">
      <c r="A13" s="38" t="s">
        <v>25</v>
      </c>
      <c r="B13" s="32" t="s">
        <v>81</v>
      </c>
      <c r="C13" s="32" t="s">
        <v>27</v>
      </c>
      <c r="D13" s="33" t="s">
        <v>39</v>
      </c>
      <c r="E13" s="42" t="s">
        <v>40</v>
      </c>
      <c r="F13" s="33" t="s">
        <v>30</v>
      </c>
      <c r="G13" s="33" t="s">
        <v>29</v>
      </c>
      <c r="H13" s="33" t="s">
        <v>30</v>
      </c>
      <c r="I13" s="42" t="s">
        <v>41</v>
      </c>
      <c r="J13" s="49"/>
      <c r="K13" s="42" t="s">
        <v>42</v>
      </c>
      <c r="L13" s="45">
        <v>26665.0</v>
      </c>
      <c r="M13" s="50" t="s">
        <v>82</v>
      </c>
      <c r="N13" s="47" t="s">
        <v>83</v>
      </c>
      <c r="O13" s="42" t="s">
        <v>35</v>
      </c>
      <c r="P13" s="48" t="s">
        <v>84</v>
      </c>
      <c r="Q13" s="38">
        <v>632609.0</v>
      </c>
      <c r="R13" s="32">
        <f t="shared" si="3"/>
        <v>9</v>
      </c>
      <c r="S13" s="82"/>
      <c r="T13" s="65">
        <v>45565.0</v>
      </c>
      <c r="U13" s="21"/>
      <c r="V13" s="80">
        <f t="shared" si="1"/>
        <v>51.78082192</v>
      </c>
      <c r="W13" s="81">
        <f t="shared" si="2"/>
        <v>53.56986301</v>
      </c>
      <c r="X13" s="21"/>
      <c r="Y13" s="21"/>
      <c r="Z13" s="21"/>
      <c r="AA13" s="21"/>
    </row>
    <row r="14" ht="33.75" customHeight="1">
      <c r="A14" s="38" t="s">
        <v>25</v>
      </c>
      <c r="B14" s="38" t="s">
        <v>85</v>
      </c>
      <c r="C14" s="38" t="s">
        <v>53</v>
      </c>
      <c r="D14" s="42" t="s">
        <v>76</v>
      </c>
      <c r="E14" s="42" t="s">
        <v>40</v>
      </c>
      <c r="F14" s="33" t="s">
        <v>30</v>
      </c>
      <c r="G14" s="33" t="s">
        <v>29</v>
      </c>
      <c r="H14" s="33" t="s">
        <v>30</v>
      </c>
      <c r="I14" s="42" t="s">
        <v>31</v>
      </c>
      <c r="J14" s="44" t="s">
        <v>86</v>
      </c>
      <c r="K14" s="42" t="s">
        <v>42</v>
      </c>
      <c r="L14" s="45">
        <v>29543.0</v>
      </c>
      <c r="M14" s="46" t="s">
        <v>87</v>
      </c>
      <c r="N14" s="47" t="s">
        <v>88</v>
      </c>
      <c r="O14" s="42" t="s">
        <v>35</v>
      </c>
      <c r="P14" s="48" t="s">
        <v>89</v>
      </c>
      <c r="Q14" s="38">
        <v>76290.0</v>
      </c>
      <c r="R14" s="32">
        <f t="shared" si="3"/>
        <v>10</v>
      </c>
      <c r="S14" s="82"/>
      <c r="T14" s="65">
        <v>45565.0</v>
      </c>
      <c r="U14" s="21"/>
      <c r="V14" s="80">
        <f t="shared" si="1"/>
        <v>43.89589041</v>
      </c>
      <c r="W14" s="81">
        <f t="shared" si="2"/>
        <v>45.68493151</v>
      </c>
      <c r="X14" s="21"/>
      <c r="Y14" s="21"/>
      <c r="Z14" s="21"/>
      <c r="AA14" s="21"/>
    </row>
    <row r="15" ht="33.75" customHeight="1">
      <c r="A15" s="38" t="s">
        <v>25</v>
      </c>
      <c r="B15" s="32" t="s">
        <v>90</v>
      </c>
      <c r="C15" s="38" t="s">
        <v>47</v>
      </c>
      <c r="D15" s="42" t="s">
        <v>76</v>
      </c>
      <c r="E15" s="42" t="s">
        <v>40</v>
      </c>
      <c r="F15" s="33" t="s">
        <v>30</v>
      </c>
      <c r="G15" s="33" t="s">
        <v>29</v>
      </c>
      <c r="H15" s="33" t="s">
        <v>30</v>
      </c>
      <c r="I15" s="42" t="s">
        <v>31</v>
      </c>
      <c r="J15" s="51" t="s">
        <v>91</v>
      </c>
      <c r="K15" s="42" t="s">
        <v>42</v>
      </c>
      <c r="L15" s="45">
        <v>22937.0</v>
      </c>
      <c r="M15" s="50" t="s">
        <v>92</v>
      </c>
      <c r="N15" s="47" t="s">
        <v>93</v>
      </c>
      <c r="O15" s="42" t="s">
        <v>56</v>
      </c>
      <c r="P15" s="48" t="s">
        <v>94</v>
      </c>
      <c r="Q15" s="38">
        <v>701872.0</v>
      </c>
      <c r="R15" s="32">
        <f t="shared" si="3"/>
        <v>11</v>
      </c>
      <c r="S15" s="82"/>
      <c r="T15" s="65">
        <v>45565.0</v>
      </c>
      <c r="U15" s="21"/>
      <c r="V15" s="80">
        <f t="shared" si="1"/>
        <v>61.99452055</v>
      </c>
      <c r="W15" s="81">
        <f t="shared" si="2"/>
        <v>63.78356164</v>
      </c>
      <c r="X15" s="21"/>
      <c r="Y15" s="21"/>
      <c r="Z15" s="21"/>
      <c r="AA15" s="21"/>
    </row>
    <row r="16" ht="33.75" customHeight="1">
      <c r="A16" s="38" t="s">
        <v>25</v>
      </c>
      <c r="B16" s="52" t="s">
        <v>95</v>
      </c>
      <c r="C16" s="52" t="s">
        <v>53</v>
      </c>
      <c r="D16" s="42" t="s">
        <v>76</v>
      </c>
      <c r="E16" s="53" t="s">
        <v>96</v>
      </c>
      <c r="F16" s="53" t="s">
        <v>97</v>
      </c>
      <c r="G16" s="53" t="s">
        <v>98</v>
      </c>
      <c r="H16" s="53" t="s">
        <v>30</v>
      </c>
      <c r="I16" s="53" t="s">
        <v>99</v>
      </c>
      <c r="J16" s="51" t="s">
        <v>100</v>
      </c>
      <c r="K16" s="53" t="s">
        <v>42</v>
      </c>
      <c r="L16" s="45">
        <v>30033.0</v>
      </c>
      <c r="M16" s="36" t="s">
        <v>101</v>
      </c>
      <c r="N16" s="37" t="s">
        <v>50</v>
      </c>
      <c r="O16" s="42" t="s">
        <v>35</v>
      </c>
      <c r="P16" s="47" t="s">
        <v>102</v>
      </c>
      <c r="Q16" s="38">
        <v>701739.0</v>
      </c>
      <c r="R16" s="32">
        <f t="shared" si="3"/>
        <v>12</v>
      </c>
      <c r="S16" s="82"/>
      <c r="T16" s="65">
        <v>45565.0</v>
      </c>
      <c r="U16" s="21"/>
      <c r="V16" s="80">
        <f t="shared" si="1"/>
        <v>42.55342466</v>
      </c>
      <c r="W16" s="81">
        <f t="shared" si="2"/>
        <v>44.34246575</v>
      </c>
      <c r="X16" s="21"/>
      <c r="Y16" s="21"/>
      <c r="Z16" s="21"/>
      <c r="AA16" s="21"/>
    </row>
    <row r="17" ht="33.75" customHeight="1">
      <c r="A17" s="38" t="s">
        <v>25</v>
      </c>
      <c r="B17" s="52" t="s">
        <v>103</v>
      </c>
      <c r="C17" s="52" t="s">
        <v>53</v>
      </c>
      <c r="D17" s="33" t="s">
        <v>54</v>
      </c>
      <c r="E17" s="53" t="s">
        <v>96</v>
      </c>
      <c r="F17" s="53" t="s">
        <v>97</v>
      </c>
      <c r="G17" s="53" t="s">
        <v>98</v>
      </c>
      <c r="H17" s="53" t="s">
        <v>30</v>
      </c>
      <c r="I17" s="53" t="s">
        <v>104</v>
      </c>
      <c r="J17" s="51" t="s">
        <v>105</v>
      </c>
      <c r="K17" s="53" t="s">
        <v>42</v>
      </c>
      <c r="L17" s="45">
        <v>13473.0</v>
      </c>
      <c r="M17" s="36" t="s">
        <v>106</v>
      </c>
      <c r="N17" s="47" t="s">
        <v>107</v>
      </c>
      <c r="O17" s="53" t="s">
        <v>56</v>
      </c>
      <c r="P17" s="47" t="s">
        <v>108</v>
      </c>
      <c r="Q17" s="38">
        <v>625051.0</v>
      </c>
      <c r="R17" s="32">
        <f t="shared" si="3"/>
        <v>13</v>
      </c>
      <c r="S17" s="66"/>
      <c r="T17" s="84">
        <v>45565.0</v>
      </c>
      <c r="U17" s="21"/>
      <c r="V17" s="80">
        <f t="shared" si="1"/>
        <v>87.92328767</v>
      </c>
      <c r="W17" s="81">
        <f t="shared" si="2"/>
        <v>89.71232877</v>
      </c>
      <c r="X17" s="21"/>
      <c r="Y17" s="21"/>
      <c r="Z17" s="21"/>
      <c r="AA17" s="21"/>
    </row>
    <row r="18" ht="33.75" customHeight="1">
      <c r="A18" s="38" t="s">
        <v>25</v>
      </c>
      <c r="B18" s="52" t="s">
        <v>109</v>
      </c>
      <c r="C18" s="38" t="s">
        <v>47</v>
      </c>
      <c r="D18" s="42" t="s">
        <v>110</v>
      </c>
      <c r="E18" s="42" t="s">
        <v>96</v>
      </c>
      <c r="F18" s="42" t="s">
        <v>97</v>
      </c>
      <c r="G18" s="42" t="s">
        <v>98</v>
      </c>
      <c r="H18" s="42" t="s">
        <v>30</v>
      </c>
      <c r="I18" s="42" t="s">
        <v>111</v>
      </c>
      <c r="J18" s="54" t="s">
        <v>40</v>
      </c>
      <c r="K18" s="42" t="s">
        <v>42</v>
      </c>
      <c r="L18" s="55">
        <v>20090.0</v>
      </c>
      <c r="M18" s="36" t="s">
        <v>101</v>
      </c>
      <c r="N18" s="48" t="s">
        <v>112</v>
      </c>
      <c r="O18" s="42" t="s">
        <v>56</v>
      </c>
      <c r="P18" s="48" t="s">
        <v>113</v>
      </c>
      <c r="Q18" s="56"/>
      <c r="R18" s="32">
        <f t="shared" si="3"/>
        <v>14</v>
      </c>
      <c r="S18" s="82"/>
      <c r="T18" s="84">
        <v>45565.0</v>
      </c>
      <c r="U18" s="21"/>
      <c r="V18" s="80">
        <f t="shared" si="1"/>
        <v>69.79452055</v>
      </c>
      <c r="W18" s="81">
        <f t="shared" si="2"/>
        <v>71.58356164</v>
      </c>
      <c r="X18" s="21"/>
      <c r="Y18" s="21"/>
      <c r="Z18" s="21"/>
      <c r="AA18" s="21"/>
    </row>
    <row r="19" ht="33.75" customHeight="1">
      <c r="A19" s="38" t="s">
        <v>25</v>
      </c>
      <c r="B19" s="32" t="s">
        <v>114</v>
      </c>
      <c r="C19" s="38" t="s">
        <v>47</v>
      </c>
      <c r="D19" s="42" t="s">
        <v>115</v>
      </c>
      <c r="E19" s="33" t="s">
        <v>29</v>
      </c>
      <c r="F19" s="33" t="s">
        <v>30</v>
      </c>
      <c r="G19" s="33" t="s">
        <v>29</v>
      </c>
      <c r="H19" s="33" t="s">
        <v>30</v>
      </c>
      <c r="I19" s="42" t="s">
        <v>116</v>
      </c>
      <c r="J19" s="51" t="s">
        <v>117</v>
      </c>
      <c r="K19" s="42" t="s">
        <v>42</v>
      </c>
      <c r="L19" s="57">
        <v>28888.0</v>
      </c>
      <c r="M19" s="46" t="s">
        <v>118</v>
      </c>
      <c r="N19" s="47" t="s">
        <v>119</v>
      </c>
      <c r="O19" s="42" t="s">
        <v>35</v>
      </c>
      <c r="P19" s="48" t="s">
        <v>120</v>
      </c>
      <c r="Q19" s="38">
        <v>696463.0</v>
      </c>
      <c r="R19" s="32">
        <f t="shared" si="3"/>
        <v>15</v>
      </c>
      <c r="S19" s="83"/>
      <c r="T19" s="65">
        <v>45565.0</v>
      </c>
      <c r="U19" s="21"/>
      <c r="V19" s="80">
        <f t="shared" si="1"/>
        <v>45.69041096</v>
      </c>
      <c r="W19" s="81">
        <f t="shared" si="2"/>
        <v>47.47945205</v>
      </c>
      <c r="X19" s="21"/>
      <c r="Y19" s="21"/>
      <c r="Z19" s="21"/>
      <c r="AA19" s="21"/>
    </row>
    <row r="20" ht="33.75" customHeight="1">
      <c r="A20" s="58" t="s">
        <v>25</v>
      </c>
      <c r="B20" s="59"/>
      <c r="C20" s="58" t="s">
        <v>53</v>
      </c>
      <c r="D20" s="60" t="s">
        <v>39</v>
      </c>
      <c r="E20" s="61" t="s">
        <v>96</v>
      </c>
      <c r="F20" s="61" t="s">
        <v>97</v>
      </c>
      <c r="G20" s="61" t="s">
        <v>98</v>
      </c>
      <c r="H20" s="61" t="s">
        <v>30</v>
      </c>
      <c r="I20" s="61" t="s">
        <v>121</v>
      </c>
      <c r="J20" s="61" t="s">
        <v>40</v>
      </c>
      <c r="K20" s="61">
        <v>1993.0</v>
      </c>
      <c r="L20" s="55">
        <v>29952.0</v>
      </c>
      <c r="M20" s="62" t="s">
        <v>122</v>
      </c>
      <c r="N20" s="63" t="s">
        <v>123</v>
      </c>
      <c r="O20" s="61" t="s">
        <v>35</v>
      </c>
      <c r="P20" s="63" t="s">
        <v>124</v>
      </c>
      <c r="Q20" s="64"/>
      <c r="R20" s="32">
        <f t="shared" si="3"/>
        <v>16</v>
      </c>
      <c r="S20" s="83"/>
      <c r="T20" s="65">
        <v>45565.0</v>
      </c>
      <c r="U20" s="21"/>
      <c r="V20" s="80">
        <f t="shared" si="1"/>
        <v>42.77534247</v>
      </c>
      <c r="W20" s="81">
        <f t="shared" si="2"/>
        <v>44.56438356</v>
      </c>
      <c r="X20" s="21"/>
      <c r="Y20" s="21"/>
      <c r="Z20" s="21"/>
      <c r="AA20" s="21"/>
    </row>
    <row r="21" ht="33.75" customHeight="1">
      <c r="A21" s="24" t="s">
        <v>125</v>
      </c>
      <c r="B21" s="25"/>
      <c r="C21" s="25"/>
      <c r="D21" s="25"/>
      <c r="E21" s="25"/>
      <c r="F21" s="25"/>
      <c r="G21" s="25"/>
      <c r="H21" s="25"/>
      <c r="I21" s="25"/>
      <c r="J21" s="25"/>
      <c r="K21" s="25"/>
      <c r="L21" s="25"/>
      <c r="M21" s="25"/>
      <c r="N21" s="25"/>
      <c r="O21" s="25"/>
      <c r="P21" s="25"/>
      <c r="Q21" s="25"/>
      <c r="R21" s="26"/>
      <c r="S21" s="66"/>
      <c r="T21" s="65"/>
      <c r="U21" s="21"/>
      <c r="V21" s="80"/>
      <c r="W21" s="81"/>
      <c r="X21" s="21"/>
      <c r="Y21" s="21"/>
      <c r="Z21" s="21"/>
      <c r="AA21" s="21"/>
    </row>
    <row r="22" ht="33.75" customHeight="1">
      <c r="A22" s="31" t="s">
        <v>25</v>
      </c>
      <c r="B22" s="32" t="s">
        <v>126</v>
      </c>
      <c r="C22" s="32" t="s">
        <v>47</v>
      </c>
      <c r="D22" s="33" t="s">
        <v>39</v>
      </c>
      <c r="E22" s="33" t="s">
        <v>40</v>
      </c>
      <c r="F22" s="33" t="s">
        <v>30</v>
      </c>
      <c r="G22" s="33" t="s">
        <v>29</v>
      </c>
      <c r="H22" s="33" t="s">
        <v>30</v>
      </c>
      <c r="I22" s="33" t="s">
        <v>41</v>
      </c>
      <c r="J22" s="40">
        <v>0.0</v>
      </c>
      <c r="K22" s="33" t="s">
        <v>42</v>
      </c>
      <c r="L22" s="35">
        <v>29102.0</v>
      </c>
      <c r="M22" s="36" t="s">
        <v>127</v>
      </c>
      <c r="N22" s="37" t="s">
        <v>128</v>
      </c>
      <c r="O22" s="33" t="s">
        <v>35</v>
      </c>
      <c r="P22" s="37" t="s">
        <v>129</v>
      </c>
      <c r="Q22" s="32">
        <v>697263.0</v>
      </c>
      <c r="R22" s="32">
        <f>R20+1</f>
        <v>17</v>
      </c>
      <c r="S22" s="66"/>
      <c r="T22" s="65">
        <v>45565.0</v>
      </c>
      <c r="U22" s="21"/>
      <c r="V22" s="80">
        <f t="shared" ref="V22:V38" si="4">(T22-L22)/365</f>
        <v>45.10410959</v>
      </c>
      <c r="W22" s="81">
        <f t="shared" ref="W22:W38" si="5">(TODAY()-L22)/365</f>
        <v>46.89315068</v>
      </c>
      <c r="X22" s="21"/>
      <c r="Y22" s="21"/>
      <c r="Z22" s="21"/>
      <c r="AA22" s="21"/>
    </row>
    <row r="23" ht="33.75" customHeight="1">
      <c r="A23" s="31" t="s">
        <v>25</v>
      </c>
      <c r="B23" s="32" t="s">
        <v>130</v>
      </c>
      <c r="C23" s="32" t="s">
        <v>53</v>
      </c>
      <c r="D23" s="33" t="s">
        <v>54</v>
      </c>
      <c r="E23" s="33" t="s">
        <v>29</v>
      </c>
      <c r="F23" s="33" t="s">
        <v>30</v>
      </c>
      <c r="G23" s="33" t="s">
        <v>29</v>
      </c>
      <c r="H23" s="33" t="s">
        <v>30</v>
      </c>
      <c r="I23" s="33" t="s">
        <v>131</v>
      </c>
      <c r="J23" s="34" t="s">
        <v>132</v>
      </c>
      <c r="K23" s="33" t="s">
        <v>42</v>
      </c>
      <c r="L23" s="35">
        <v>17036.0</v>
      </c>
      <c r="M23" s="36" t="s">
        <v>133</v>
      </c>
      <c r="N23" s="37" t="s">
        <v>134</v>
      </c>
      <c r="O23" s="33" t="s">
        <v>56</v>
      </c>
      <c r="P23" s="37" t="s">
        <v>128</v>
      </c>
      <c r="Q23" s="32">
        <v>633202.0</v>
      </c>
      <c r="R23" s="32">
        <f t="shared" ref="R23:R38" si="6">R22+1</f>
        <v>18</v>
      </c>
      <c r="S23" s="67"/>
      <c r="T23" s="65">
        <v>45565.0</v>
      </c>
      <c r="U23" s="21"/>
      <c r="V23" s="80">
        <f t="shared" si="4"/>
        <v>78.16164384</v>
      </c>
      <c r="W23" s="81">
        <f t="shared" si="5"/>
        <v>79.95068493</v>
      </c>
      <c r="X23" s="21"/>
      <c r="Y23" s="21"/>
      <c r="Z23" s="21"/>
      <c r="AA23" s="21"/>
    </row>
    <row r="24" ht="33.75" customHeight="1">
      <c r="A24" s="31" t="s">
        <v>25</v>
      </c>
      <c r="B24" s="32" t="s">
        <v>135</v>
      </c>
      <c r="C24" s="32" t="s">
        <v>75</v>
      </c>
      <c r="D24" s="33" t="s">
        <v>54</v>
      </c>
      <c r="E24" s="33" t="s">
        <v>40</v>
      </c>
      <c r="F24" s="33" t="s">
        <v>30</v>
      </c>
      <c r="G24" s="33" t="s">
        <v>29</v>
      </c>
      <c r="H24" s="33" t="s">
        <v>30</v>
      </c>
      <c r="I24" s="33" t="s">
        <v>48</v>
      </c>
      <c r="J24" s="40">
        <v>0.0</v>
      </c>
      <c r="K24" s="33" t="s">
        <v>42</v>
      </c>
      <c r="L24" s="35">
        <v>19489.0</v>
      </c>
      <c r="M24" s="36" t="s">
        <v>136</v>
      </c>
      <c r="N24" s="37" t="s">
        <v>137</v>
      </c>
      <c r="O24" s="33" t="s">
        <v>56</v>
      </c>
      <c r="P24" s="37" t="s">
        <v>138</v>
      </c>
      <c r="Q24" s="32">
        <v>690594.0</v>
      </c>
      <c r="R24" s="32">
        <f t="shared" si="6"/>
        <v>19</v>
      </c>
      <c r="S24" s="66"/>
      <c r="T24" s="65">
        <v>45565.0</v>
      </c>
      <c r="U24" s="21"/>
      <c r="V24" s="80">
        <f t="shared" si="4"/>
        <v>71.44109589</v>
      </c>
      <c r="W24" s="81">
        <f t="shared" si="5"/>
        <v>73.23013699</v>
      </c>
      <c r="X24" s="21"/>
      <c r="Y24" s="21"/>
      <c r="Z24" s="21"/>
      <c r="AA24" s="21"/>
    </row>
    <row r="25" ht="33.75" customHeight="1">
      <c r="A25" s="31" t="s">
        <v>25</v>
      </c>
      <c r="B25" s="32" t="s">
        <v>139</v>
      </c>
      <c r="C25" s="32" t="s">
        <v>53</v>
      </c>
      <c r="D25" s="33" t="s">
        <v>140</v>
      </c>
      <c r="E25" s="33" t="s">
        <v>40</v>
      </c>
      <c r="F25" s="33" t="s">
        <v>30</v>
      </c>
      <c r="G25" s="33" t="s">
        <v>29</v>
      </c>
      <c r="H25" s="33" t="s">
        <v>30</v>
      </c>
      <c r="I25" s="33" t="s">
        <v>48</v>
      </c>
      <c r="J25" s="34" t="s">
        <v>141</v>
      </c>
      <c r="K25" s="33" t="s">
        <v>42</v>
      </c>
      <c r="L25" s="35">
        <v>21596.0</v>
      </c>
      <c r="M25" s="36" t="s">
        <v>142</v>
      </c>
      <c r="N25" s="37" t="s">
        <v>143</v>
      </c>
      <c r="O25" s="33" t="s">
        <v>56</v>
      </c>
      <c r="P25" s="37" t="s">
        <v>144</v>
      </c>
      <c r="Q25" s="32">
        <v>600898.0</v>
      </c>
      <c r="R25" s="32">
        <f t="shared" si="6"/>
        <v>20</v>
      </c>
      <c r="S25" s="37"/>
      <c r="T25" s="65">
        <v>45565.0</v>
      </c>
      <c r="U25" s="21"/>
      <c r="V25" s="80">
        <f t="shared" si="4"/>
        <v>65.66849315</v>
      </c>
      <c r="W25" s="81">
        <f t="shared" si="5"/>
        <v>67.45753425</v>
      </c>
      <c r="X25" s="21"/>
      <c r="Y25" s="21"/>
      <c r="Z25" s="21"/>
      <c r="AA25" s="21"/>
    </row>
    <row r="26" ht="33.75" customHeight="1">
      <c r="A26" s="31" t="s">
        <v>25</v>
      </c>
      <c r="B26" s="32" t="s">
        <v>145</v>
      </c>
      <c r="C26" s="32" t="s">
        <v>53</v>
      </c>
      <c r="D26" s="33" t="s">
        <v>54</v>
      </c>
      <c r="E26" s="33" t="s">
        <v>29</v>
      </c>
      <c r="F26" s="33" t="s">
        <v>30</v>
      </c>
      <c r="G26" s="33" t="s">
        <v>29</v>
      </c>
      <c r="H26" s="33" t="s">
        <v>30</v>
      </c>
      <c r="I26" s="33" t="s">
        <v>31</v>
      </c>
      <c r="J26" s="41"/>
      <c r="K26" s="33" t="s">
        <v>42</v>
      </c>
      <c r="L26" s="35">
        <v>12936.0</v>
      </c>
      <c r="M26" s="36" t="s">
        <v>146</v>
      </c>
      <c r="N26" s="37" t="s">
        <v>147</v>
      </c>
      <c r="O26" s="33" t="s">
        <v>56</v>
      </c>
      <c r="P26" s="37" t="s">
        <v>148</v>
      </c>
      <c r="Q26" s="32">
        <v>626871.0</v>
      </c>
      <c r="R26" s="32">
        <f t="shared" si="6"/>
        <v>21</v>
      </c>
      <c r="S26" s="66"/>
      <c r="T26" s="65">
        <v>45565.0</v>
      </c>
      <c r="U26" s="21"/>
      <c r="V26" s="80">
        <f t="shared" si="4"/>
        <v>89.39452055</v>
      </c>
      <c r="W26" s="81">
        <f t="shared" si="5"/>
        <v>91.18356164</v>
      </c>
      <c r="X26" s="21"/>
      <c r="Y26" s="21"/>
      <c r="Z26" s="21"/>
      <c r="AA26" s="21"/>
    </row>
    <row r="27" ht="33.75" customHeight="1">
      <c r="A27" s="31" t="s">
        <v>25</v>
      </c>
      <c r="B27" s="32" t="s">
        <v>149</v>
      </c>
      <c r="C27" s="32" t="s">
        <v>53</v>
      </c>
      <c r="D27" s="33" t="s">
        <v>39</v>
      </c>
      <c r="E27" s="33" t="s">
        <v>40</v>
      </c>
      <c r="F27" s="33" t="s">
        <v>30</v>
      </c>
      <c r="G27" s="33" t="s">
        <v>29</v>
      </c>
      <c r="H27" s="33" t="s">
        <v>30</v>
      </c>
      <c r="I27" s="33" t="s">
        <v>41</v>
      </c>
      <c r="J27" s="43" t="s">
        <v>150</v>
      </c>
      <c r="K27" s="33" t="s">
        <v>42</v>
      </c>
      <c r="L27" s="35">
        <v>26988.0</v>
      </c>
      <c r="M27" s="36" t="s">
        <v>151</v>
      </c>
      <c r="N27" s="37" t="s">
        <v>148</v>
      </c>
      <c r="O27" s="33" t="s">
        <v>35</v>
      </c>
      <c r="P27" s="37" t="s">
        <v>152</v>
      </c>
      <c r="Q27" s="32">
        <v>629430.0</v>
      </c>
      <c r="R27" s="32">
        <f t="shared" si="6"/>
        <v>22</v>
      </c>
      <c r="S27" s="66"/>
      <c r="T27" s="65">
        <v>45565.0</v>
      </c>
      <c r="U27" s="21"/>
      <c r="V27" s="80">
        <f t="shared" si="4"/>
        <v>50.89589041</v>
      </c>
      <c r="W27" s="81">
        <f t="shared" si="5"/>
        <v>52.68493151</v>
      </c>
      <c r="X27" s="21"/>
      <c r="Y27" s="21"/>
      <c r="Z27" s="21"/>
      <c r="AA27" s="21"/>
    </row>
    <row r="28" ht="33.75" customHeight="1">
      <c r="A28" s="31" t="s">
        <v>25</v>
      </c>
      <c r="B28" s="68" t="s">
        <v>153</v>
      </c>
      <c r="C28" s="32" t="s">
        <v>53</v>
      </c>
      <c r="D28" s="42" t="s">
        <v>76</v>
      </c>
      <c r="E28" s="33" t="s">
        <v>40</v>
      </c>
      <c r="F28" s="33" t="s">
        <v>30</v>
      </c>
      <c r="G28" s="33" t="s">
        <v>29</v>
      </c>
      <c r="H28" s="33" t="s">
        <v>30</v>
      </c>
      <c r="I28" s="33" t="s">
        <v>154</v>
      </c>
      <c r="J28" s="44" t="s">
        <v>155</v>
      </c>
      <c r="K28" s="33" t="s">
        <v>42</v>
      </c>
      <c r="L28" s="35">
        <v>29319.0</v>
      </c>
      <c r="M28" s="36" t="s">
        <v>156</v>
      </c>
      <c r="N28" s="37" t="s">
        <v>157</v>
      </c>
      <c r="O28" s="33" t="s">
        <v>35</v>
      </c>
      <c r="P28" s="37" t="s">
        <v>158</v>
      </c>
      <c r="Q28" s="32">
        <v>73236.0</v>
      </c>
      <c r="R28" s="32">
        <f t="shared" si="6"/>
        <v>23</v>
      </c>
      <c r="S28" s="83"/>
      <c r="T28" s="65">
        <v>45565.0</v>
      </c>
      <c r="U28" s="21"/>
      <c r="V28" s="80">
        <f t="shared" si="4"/>
        <v>44.50958904</v>
      </c>
      <c r="W28" s="81">
        <f t="shared" si="5"/>
        <v>46.29863014</v>
      </c>
      <c r="X28" s="21"/>
      <c r="Y28" s="21"/>
      <c r="Z28" s="21"/>
      <c r="AA28" s="21"/>
    </row>
    <row r="29" ht="33.75" customHeight="1">
      <c r="A29" s="31" t="s">
        <v>25</v>
      </c>
      <c r="B29" s="32" t="s">
        <v>159</v>
      </c>
      <c r="C29" s="32" t="s">
        <v>75</v>
      </c>
      <c r="D29" s="33" t="s">
        <v>39</v>
      </c>
      <c r="E29" s="33" t="s">
        <v>40</v>
      </c>
      <c r="F29" s="33" t="s">
        <v>30</v>
      </c>
      <c r="G29" s="33" t="s">
        <v>29</v>
      </c>
      <c r="H29" s="33" t="s">
        <v>30</v>
      </c>
      <c r="I29" s="33" t="s">
        <v>41</v>
      </c>
      <c r="J29" s="41"/>
      <c r="K29" s="33" t="s">
        <v>42</v>
      </c>
      <c r="L29" s="35">
        <v>29895.0</v>
      </c>
      <c r="M29" s="36" t="s">
        <v>160</v>
      </c>
      <c r="N29" s="37" t="s">
        <v>161</v>
      </c>
      <c r="O29" s="33" t="s">
        <v>35</v>
      </c>
      <c r="P29" s="37" t="s">
        <v>162</v>
      </c>
      <c r="Q29" s="32">
        <v>698781.0</v>
      </c>
      <c r="R29" s="32">
        <f t="shared" si="6"/>
        <v>24</v>
      </c>
      <c r="S29" s="66"/>
      <c r="T29" s="65">
        <v>45565.0</v>
      </c>
      <c r="U29" s="21"/>
      <c r="V29" s="80">
        <f t="shared" si="4"/>
        <v>42.93150685</v>
      </c>
      <c r="W29" s="81">
        <f t="shared" si="5"/>
        <v>44.72054795</v>
      </c>
      <c r="X29" s="21"/>
      <c r="Y29" s="21"/>
      <c r="Z29" s="21"/>
      <c r="AA29" s="21"/>
    </row>
    <row r="30" ht="33.75" customHeight="1">
      <c r="A30" s="31" t="s">
        <v>25</v>
      </c>
      <c r="B30" s="32" t="s">
        <v>163</v>
      </c>
      <c r="C30" s="32" t="s">
        <v>27</v>
      </c>
      <c r="D30" s="33" t="s">
        <v>54</v>
      </c>
      <c r="E30" s="33" t="s">
        <v>40</v>
      </c>
      <c r="F30" s="33" t="s">
        <v>30</v>
      </c>
      <c r="G30" s="33" t="s">
        <v>29</v>
      </c>
      <c r="H30" s="33" t="s">
        <v>30</v>
      </c>
      <c r="I30" s="33" t="s">
        <v>48</v>
      </c>
      <c r="J30" s="34" t="s">
        <v>164</v>
      </c>
      <c r="K30" s="33" t="s">
        <v>42</v>
      </c>
      <c r="L30" s="35">
        <v>21551.0</v>
      </c>
      <c r="M30" s="36" t="s">
        <v>165</v>
      </c>
      <c r="N30" s="37" t="s">
        <v>80</v>
      </c>
      <c r="O30" s="33" t="s">
        <v>56</v>
      </c>
      <c r="P30" s="37" t="s">
        <v>166</v>
      </c>
      <c r="Q30" s="32">
        <v>697260.0</v>
      </c>
      <c r="R30" s="32">
        <f t="shared" si="6"/>
        <v>25</v>
      </c>
      <c r="S30" s="66"/>
      <c r="T30" s="65">
        <v>45565.0</v>
      </c>
      <c r="U30" s="21"/>
      <c r="V30" s="80">
        <f t="shared" si="4"/>
        <v>65.79178082</v>
      </c>
      <c r="W30" s="81">
        <f t="shared" si="5"/>
        <v>67.58082192</v>
      </c>
      <c r="X30" s="21"/>
      <c r="Y30" s="21"/>
      <c r="Z30" s="21"/>
      <c r="AA30" s="21"/>
    </row>
    <row r="31" ht="33.75" customHeight="1">
      <c r="A31" s="31" t="s">
        <v>25</v>
      </c>
      <c r="B31" s="32" t="s">
        <v>167</v>
      </c>
      <c r="C31" s="32" t="s">
        <v>168</v>
      </c>
      <c r="D31" s="33" t="s">
        <v>39</v>
      </c>
      <c r="E31" s="33" t="s">
        <v>40</v>
      </c>
      <c r="F31" s="33" t="s">
        <v>30</v>
      </c>
      <c r="G31" s="33" t="s">
        <v>29</v>
      </c>
      <c r="H31" s="33" t="s">
        <v>30</v>
      </c>
      <c r="I31" s="33" t="s">
        <v>41</v>
      </c>
      <c r="J31" s="41"/>
      <c r="K31" s="33" t="s">
        <v>42</v>
      </c>
      <c r="L31" s="35">
        <v>27784.0</v>
      </c>
      <c r="M31" s="36" t="s">
        <v>169</v>
      </c>
      <c r="N31" s="37" t="s">
        <v>170</v>
      </c>
      <c r="O31" s="33" t="s">
        <v>35</v>
      </c>
      <c r="P31" s="37" t="s">
        <v>171</v>
      </c>
      <c r="Q31" s="32">
        <v>697262.0</v>
      </c>
      <c r="R31" s="32">
        <f t="shared" si="6"/>
        <v>26</v>
      </c>
      <c r="S31" s="37"/>
      <c r="T31" s="65">
        <v>45565.0</v>
      </c>
      <c r="U31" s="21"/>
      <c r="V31" s="80">
        <f t="shared" si="4"/>
        <v>48.71506849</v>
      </c>
      <c r="W31" s="81">
        <f t="shared" si="5"/>
        <v>50.50410959</v>
      </c>
      <c r="X31" s="21"/>
      <c r="Y31" s="21"/>
      <c r="Z31" s="21"/>
      <c r="AA31" s="21"/>
    </row>
    <row r="32" ht="33.75" customHeight="1">
      <c r="A32" s="31" t="s">
        <v>25</v>
      </c>
      <c r="B32" s="32" t="s">
        <v>172</v>
      </c>
      <c r="C32" s="32" t="s">
        <v>27</v>
      </c>
      <c r="D32" s="33" t="s">
        <v>54</v>
      </c>
      <c r="E32" s="33" t="s">
        <v>40</v>
      </c>
      <c r="F32" s="33" t="s">
        <v>30</v>
      </c>
      <c r="G32" s="33" t="s">
        <v>29</v>
      </c>
      <c r="H32" s="33" t="s">
        <v>30</v>
      </c>
      <c r="I32" s="33" t="s">
        <v>48</v>
      </c>
      <c r="J32" s="41"/>
      <c r="K32" s="33" t="s">
        <v>42</v>
      </c>
      <c r="L32" s="35">
        <v>19299.0</v>
      </c>
      <c r="M32" s="36" t="s">
        <v>173</v>
      </c>
      <c r="N32" s="37" t="s">
        <v>174</v>
      </c>
      <c r="O32" s="33" t="s">
        <v>56</v>
      </c>
      <c r="P32" s="37" t="s">
        <v>175</v>
      </c>
      <c r="Q32" s="32">
        <v>629414.0</v>
      </c>
      <c r="R32" s="32">
        <f t="shared" si="6"/>
        <v>27</v>
      </c>
      <c r="S32" s="83"/>
      <c r="T32" s="65">
        <v>45565.0</v>
      </c>
      <c r="U32" s="21"/>
      <c r="V32" s="80">
        <f t="shared" si="4"/>
        <v>71.96164384</v>
      </c>
      <c r="W32" s="81">
        <f t="shared" si="5"/>
        <v>73.75068493</v>
      </c>
      <c r="X32" s="21"/>
      <c r="Y32" s="21"/>
      <c r="Z32" s="21"/>
      <c r="AA32" s="21"/>
    </row>
    <row r="33" ht="33.75" customHeight="1">
      <c r="A33" s="31" t="s">
        <v>25</v>
      </c>
      <c r="B33" s="32" t="s">
        <v>176</v>
      </c>
      <c r="C33" s="32" t="s">
        <v>47</v>
      </c>
      <c r="D33" s="33" t="s">
        <v>39</v>
      </c>
      <c r="E33" s="33" t="s">
        <v>29</v>
      </c>
      <c r="F33" s="33" t="s">
        <v>30</v>
      </c>
      <c r="G33" s="33" t="s">
        <v>29</v>
      </c>
      <c r="H33" s="33" t="s">
        <v>30</v>
      </c>
      <c r="I33" s="33" t="s">
        <v>63</v>
      </c>
      <c r="J33" s="44" t="s">
        <v>177</v>
      </c>
      <c r="K33" s="33" t="s">
        <v>42</v>
      </c>
      <c r="L33" s="35">
        <v>22526.0</v>
      </c>
      <c r="M33" s="46" t="s">
        <v>178</v>
      </c>
      <c r="N33" s="37" t="s">
        <v>179</v>
      </c>
      <c r="O33" s="33" t="s">
        <v>56</v>
      </c>
      <c r="P33" s="37" t="s">
        <v>180</v>
      </c>
      <c r="Q33" s="32">
        <v>626872.0</v>
      </c>
      <c r="R33" s="32">
        <f t="shared" si="6"/>
        <v>28</v>
      </c>
      <c r="S33" s="37"/>
      <c r="T33" s="65">
        <v>45565.0</v>
      </c>
      <c r="U33" s="21"/>
      <c r="V33" s="80">
        <f t="shared" si="4"/>
        <v>63.12054795</v>
      </c>
      <c r="W33" s="81">
        <f t="shared" si="5"/>
        <v>64.90958904</v>
      </c>
      <c r="X33" s="21"/>
      <c r="Y33" s="21"/>
      <c r="Z33" s="21"/>
      <c r="AA33" s="21"/>
    </row>
    <row r="34" ht="33.75" customHeight="1">
      <c r="A34" s="38" t="s">
        <v>25</v>
      </c>
      <c r="B34" s="69"/>
      <c r="C34" s="32" t="s">
        <v>27</v>
      </c>
      <c r="D34" s="33" t="s">
        <v>54</v>
      </c>
      <c r="E34" s="42" t="s">
        <v>40</v>
      </c>
      <c r="F34" s="33" t="s">
        <v>30</v>
      </c>
      <c r="G34" s="33" t="s">
        <v>29</v>
      </c>
      <c r="H34" s="33" t="s">
        <v>30</v>
      </c>
      <c r="I34" s="42" t="s">
        <v>48</v>
      </c>
      <c r="J34" s="49"/>
      <c r="K34" s="42" t="s">
        <v>42</v>
      </c>
      <c r="L34" s="45">
        <v>27546.0</v>
      </c>
      <c r="M34" s="46" t="s">
        <v>181</v>
      </c>
      <c r="N34" s="47" t="s">
        <v>182</v>
      </c>
      <c r="O34" s="42" t="s">
        <v>35</v>
      </c>
      <c r="P34" s="48" t="s">
        <v>183</v>
      </c>
      <c r="Q34" s="38">
        <v>696346.0</v>
      </c>
      <c r="R34" s="38">
        <f t="shared" si="6"/>
        <v>29</v>
      </c>
      <c r="S34" s="37"/>
      <c r="T34" s="65">
        <v>45565.0</v>
      </c>
      <c r="U34" s="21"/>
      <c r="V34" s="80">
        <f t="shared" si="4"/>
        <v>49.36712329</v>
      </c>
      <c r="W34" s="81">
        <f t="shared" si="5"/>
        <v>51.15616438</v>
      </c>
      <c r="X34" s="21"/>
      <c r="Y34" s="21"/>
      <c r="Z34" s="21"/>
      <c r="AA34" s="21"/>
    </row>
    <row r="35" ht="33.75" customHeight="1">
      <c r="A35" s="38" t="s">
        <v>25</v>
      </c>
      <c r="B35" s="32" t="s">
        <v>184</v>
      </c>
      <c r="C35" s="32" t="s">
        <v>27</v>
      </c>
      <c r="D35" s="33" t="s">
        <v>39</v>
      </c>
      <c r="E35" s="42" t="s">
        <v>40</v>
      </c>
      <c r="F35" s="33" t="s">
        <v>30</v>
      </c>
      <c r="G35" s="33" t="s">
        <v>29</v>
      </c>
      <c r="H35" s="33" t="s">
        <v>30</v>
      </c>
      <c r="I35" s="42" t="s">
        <v>41</v>
      </c>
      <c r="J35" s="44" t="s">
        <v>185</v>
      </c>
      <c r="K35" s="42" t="s">
        <v>42</v>
      </c>
      <c r="L35" s="45">
        <v>26511.0</v>
      </c>
      <c r="M35" s="50" t="s">
        <v>186</v>
      </c>
      <c r="N35" s="47" t="s">
        <v>187</v>
      </c>
      <c r="O35" s="42" t="s">
        <v>35</v>
      </c>
      <c r="P35" s="48" t="s">
        <v>188</v>
      </c>
      <c r="Q35" s="38">
        <v>626847.0</v>
      </c>
      <c r="R35" s="32">
        <f t="shared" si="6"/>
        <v>30</v>
      </c>
      <c r="S35" s="67"/>
      <c r="T35" s="65">
        <v>45565.0</v>
      </c>
      <c r="U35" s="21"/>
      <c r="V35" s="80">
        <f t="shared" si="4"/>
        <v>52.20273973</v>
      </c>
      <c r="W35" s="81">
        <f t="shared" si="5"/>
        <v>53.99178082</v>
      </c>
      <c r="X35" s="21"/>
      <c r="Y35" s="21"/>
      <c r="Z35" s="21"/>
      <c r="AA35" s="21"/>
    </row>
    <row r="36" ht="33.75" customHeight="1">
      <c r="A36" s="38" t="s">
        <v>25</v>
      </c>
      <c r="B36" s="38" t="s">
        <v>189</v>
      </c>
      <c r="C36" s="38" t="s">
        <v>27</v>
      </c>
      <c r="D36" s="42" t="s">
        <v>76</v>
      </c>
      <c r="E36" s="42" t="s">
        <v>40</v>
      </c>
      <c r="F36" s="33" t="s">
        <v>30</v>
      </c>
      <c r="G36" s="33" t="s">
        <v>29</v>
      </c>
      <c r="H36" s="33" t="s">
        <v>30</v>
      </c>
      <c r="I36" s="33" t="s">
        <v>48</v>
      </c>
      <c r="J36" s="49"/>
      <c r="K36" s="42" t="s">
        <v>42</v>
      </c>
      <c r="L36" s="45">
        <v>25571.0</v>
      </c>
      <c r="M36" s="50" t="s">
        <v>190</v>
      </c>
      <c r="N36" s="47" t="s">
        <v>191</v>
      </c>
      <c r="O36" s="42" t="s">
        <v>35</v>
      </c>
      <c r="P36" s="48" t="s">
        <v>192</v>
      </c>
      <c r="Q36" s="38">
        <v>700623.0</v>
      </c>
      <c r="R36" s="32">
        <f t="shared" si="6"/>
        <v>31</v>
      </c>
      <c r="S36" s="48"/>
      <c r="T36" s="65">
        <v>45565.0</v>
      </c>
      <c r="U36" s="21"/>
      <c r="V36" s="80">
        <f t="shared" si="4"/>
        <v>54.77808219</v>
      </c>
      <c r="W36" s="81">
        <f t="shared" si="5"/>
        <v>56.56712329</v>
      </c>
      <c r="X36" s="21"/>
      <c r="Y36" s="21"/>
      <c r="Z36" s="21"/>
      <c r="AA36" s="21"/>
    </row>
    <row r="37" ht="33.75" customHeight="1">
      <c r="A37" s="31" t="s">
        <v>25</v>
      </c>
      <c r="B37" s="69"/>
      <c r="C37" s="32" t="s">
        <v>53</v>
      </c>
      <c r="D37" s="33" t="s">
        <v>54</v>
      </c>
      <c r="E37" s="33" t="s">
        <v>40</v>
      </c>
      <c r="F37" s="33" t="s">
        <v>30</v>
      </c>
      <c r="G37" s="33" t="s">
        <v>29</v>
      </c>
      <c r="H37" s="33" t="s">
        <v>30</v>
      </c>
      <c r="I37" s="33" t="s">
        <v>31</v>
      </c>
      <c r="J37" s="33" t="s">
        <v>40</v>
      </c>
      <c r="K37" s="33" t="s">
        <v>42</v>
      </c>
      <c r="L37" s="35">
        <v>22922.0</v>
      </c>
      <c r="M37" s="36" t="s">
        <v>193</v>
      </c>
      <c r="N37" s="37" t="s">
        <v>194</v>
      </c>
      <c r="O37" s="33" t="s">
        <v>56</v>
      </c>
      <c r="P37" s="37" t="s">
        <v>195</v>
      </c>
      <c r="Q37" s="38">
        <v>694921.0</v>
      </c>
      <c r="R37" s="32">
        <f t="shared" si="6"/>
        <v>32</v>
      </c>
      <c r="S37" s="67"/>
      <c r="T37" s="65">
        <v>45565.0</v>
      </c>
      <c r="U37" s="21"/>
      <c r="V37" s="80">
        <f t="shared" si="4"/>
        <v>62.03561644</v>
      </c>
      <c r="W37" s="81">
        <f t="shared" si="5"/>
        <v>63.82465753</v>
      </c>
      <c r="X37" s="21"/>
      <c r="Y37" s="21"/>
      <c r="Z37" s="21"/>
      <c r="AA37" s="21"/>
    </row>
    <row r="38" ht="33.75" customHeight="1">
      <c r="A38" s="38" t="s">
        <v>25</v>
      </c>
      <c r="B38" s="52" t="s">
        <v>196</v>
      </c>
      <c r="C38" s="52" t="s">
        <v>53</v>
      </c>
      <c r="D38" s="53" t="s">
        <v>54</v>
      </c>
      <c r="E38" s="53" t="s">
        <v>96</v>
      </c>
      <c r="F38" s="53" t="s">
        <v>97</v>
      </c>
      <c r="G38" s="53" t="s">
        <v>98</v>
      </c>
      <c r="H38" s="53" t="s">
        <v>30</v>
      </c>
      <c r="I38" s="53" t="s">
        <v>111</v>
      </c>
      <c r="J38" s="53" t="s">
        <v>40</v>
      </c>
      <c r="K38" s="53" t="s">
        <v>42</v>
      </c>
      <c r="L38" s="70">
        <v>18272.0</v>
      </c>
      <c r="M38" s="71" t="s">
        <v>197</v>
      </c>
      <c r="N38" s="47" t="s">
        <v>198</v>
      </c>
      <c r="O38" s="53" t="s">
        <v>56</v>
      </c>
      <c r="P38" s="47" t="s">
        <v>199</v>
      </c>
      <c r="Q38" s="38">
        <v>702392.0</v>
      </c>
      <c r="R38" s="32">
        <f t="shared" si="6"/>
        <v>33</v>
      </c>
      <c r="S38" s="66"/>
      <c r="T38" s="65">
        <v>45565.0</v>
      </c>
      <c r="U38" s="21"/>
      <c r="V38" s="80">
        <f t="shared" si="4"/>
        <v>74.77534247</v>
      </c>
      <c r="W38" s="81">
        <f t="shared" si="5"/>
        <v>76.56438356</v>
      </c>
      <c r="X38" s="21"/>
      <c r="Y38" s="21"/>
      <c r="Z38" s="21"/>
      <c r="AA38" s="21"/>
    </row>
    <row r="39">
      <c r="A39" s="1"/>
      <c r="B39" s="1"/>
      <c r="C39" s="1"/>
      <c r="D39" s="1"/>
      <c r="E39" s="1"/>
      <c r="F39" s="1"/>
      <c r="G39" s="1"/>
      <c r="H39" s="1"/>
      <c r="I39" s="1"/>
      <c r="J39" s="72"/>
      <c r="K39" s="1"/>
      <c r="L39" s="2"/>
      <c r="M39" s="1"/>
      <c r="N39" s="1"/>
      <c r="O39" s="1"/>
      <c r="P39" s="73"/>
      <c r="Q39" s="1"/>
      <c r="R39" s="1"/>
      <c r="S39" s="1"/>
      <c r="T39" s="2"/>
      <c r="U39" s="1"/>
      <c r="V39" s="1"/>
      <c r="W39" s="1"/>
      <c r="X39" s="1"/>
      <c r="Y39" s="1"/>
      <c r="Z39" s="1"/>
      <c r="AA39" s="1"/>
    </row>
    <row r="40">
      <c r="A40" s="1"/>
      <c r="B40" s="1"/>
      <c r="C40" s="1"/>
      <c r="D40" s="1"/>
      <c r="E40" s="1"/>
      <c r="F40" s="1"/>
      <c r="G40" s="1"/>
      <c r="H40" s="1"/>
      <c r="I40" s="1"/>
      <c r="J40" s="72"/>
      <c r="K40" s="1"/>
      <c r="L40" s="2"/>
      <c r="M40" s="1"/>
      <c r="N40" s="1"/>
      <c r="O40" s="1"/>
      <c r="P40" s="73"/>
      <c r="Q40" s="1"/>
      <c r="R40" s="1"/>
      <c r="S40" s="1"/>
      <c r="T40" s="2"/>
      <c r="U40" s="1"/>
      <c r="V40" s="1"/>
      <c r="W40" s="1"/>
      <c r="X40" s="1"/>
      <c r="Y40" s="1"/>
      <c r="Z40" s="1"/>
      <c r="AA40" s="1"/>
    </row>
    <row r="41">
      <c r="A41" s="1"/>
      <c r="B41" s="1"/>
      <c r="C41" s="1"/>
      <c r="D41" s="9"/>
      <c r="E41" s="25"/>
      <c r="F41" s="25"/>
      <c r="G41" s="25"/>
      <c r="H41" s="1"/>
      <c r="I41" s="74" t="s">
        <v>200</v>
      </c>
      <c r="L41" s="2"/>
      <c r="M41" s="1"/>
      <c r="N41" s="9"/>
      <c r="O41" s="25"/>
      <c r="P41" s="75" t="s">
        <v>201</v>
      </c>
      <c r="S41" s="1"/>
      <c r="T41" s="2"/>
      <c r="U41" s="1"/>
      <c r="V41" s="1"/>
      <c r="W41" s="1"/>
      <c r="X41" s="1"/>
      <c r="Y41" s="1"/>
      <c r="Z41" s="1"/>
      <c r="AA41" s="1"/>
    </row>
    <row r="42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2"/>
      <c r="M42" s="1"/>
      <c r="N42" s="1"/>
      <c r="O42" s="1"/>
      <c r="P42" s="73"/>
      <c r="Q42" s="1"/>
      <c r="R42" s="1"/>
      <c r="S42" s="1"/>
      <c r="T42" s="2"/>
      <c r="U42" s="1"/>
      <c r="V42" s="1"/>
      <c r="W42" s="1"/>
      <c r="X42" s="1"/>
      <c r="Y42" s="1"/>
      <c r="Z42" s="1"/>
      <c r="AA42" s="1"/>
    </row>
    <row r="43">
      <c r="A43" s="1"/>
      <c r="B43" s="1"/>
      <c r="C43" s="1"/>
      <c r="D43" s="1"/>
      <c r="E43" s="1"/>
      <c r="F43" s="1"/>
      <c r="G43" s="1"/>
      <c r="H43" s="1"/>
      <c r="I43" s="1"/>
      <c r="J43" s="72"/>
      <c r="K43" s="1"/>
      <c r="L43" s="2"/>
      <c r="M43" s="2"/>
      <c r="N43" s="76">
        <v>44865.0</v>
      </c>
      <c r="O43" s="25"/>
      <c r="P43" s="77" t="s">
        <v>202</v>
      </c>
      <c r="S43" s="1"/>
      <c r="T43" s="2"/>
      <c r="U43" s="1"/>
      <c r="V43" s="1"/>
      <c r="W43" s="1"/>
      <c r="X43" s="1"/>
      <c r="Y43" s="1"/>
      <c r="Z43" s="1"/>
      <c r="AA43" s="1"/>
    </row>
    <row r="44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73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</row>
    <row r="4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73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</row>
    <row r="46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73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</row>
    <row r="47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73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</row>
  </sheetData>
  <mergeCells count="16">
    <mergeCell ref="C1:E1"/>
    <mergeCell ref="F1:H1"/>
    <mergeCell ref="I1:J1"/>
    <mergeCell ref="K1:L1"/>
    <mergeCell ref="N1:O1"/>
    <mergeCell ref="P1:R1"/>
    <mergeCell ref="E3:F3"/>
    <mergeCell ref="N43:O43"/>
    <mergeCell ref="P43:R43"/>
    <mergeCell ref="G3:H3"/>
    <mergeCell ref="A4:R4"/>
    <mergeCell ref="A21:R21"/>
    <mergeCell ref="D41:G41"/>
    <mergeCell ref="I41:K41"/>
    <mergeCell ref="N41:O41"/>
    <mergeCell ref="P41:R4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9.38"/>
    <col customWidth="1" min="4" max="4" width="10.63"/>
    <col customWidth="1" min="5" max="5" width="10.13"/>
    <col customWidth="1" min="6" max="6" width="6.63"/>
    <col customWidth="1" min="7" max="7" width="5.88"/>
    <col customWidth="1" min="8" max="8" width="4.5"/>
    <col customWidth="1" min="9" max="9" width="17.88"/>
    <col customWidth="1" min="10" max="10" width="13.38"/>
    <col customWidth="1" min="11" max="11" width="12.5"/>
    <col customWidth="1" min="14" max="14" width="29.75"/>
    <col customWidth="1" min="15" max="15" width="20.88"/>
    <col customWidth="1" min="16" max="16" width="27.38"/>
    <col customWidth="1" min="17" max="17" width="8.75"/>
    <col customWidth="1" min="18" max="18" width="8.38"/>
    <col customWidth="1" min="19" max="19" width="19.0"/>
  </cols>
  <sheetData>
    <row r="1">
      <c r="A1" s="1"/>
      <c r="B1" s="2"/>
      <c r="C1" s="85">
        <v>45596.0</v>
      </c>
      <c r="D1" s="4"/>
      <c r="E1" s="4"/>
      <c r="F1" s="5" t="s">
        <v>0</v>
      </c>
      <c r="I1" s="6" t="s">
        <v>1</v>
      </c>
      <c r="J1" s="4"/>
      <c r="K1" s="5" t="s">
        <v>2</v>
      </c>
      <c r="M1" s="86"/>
      <c r="N1" s="7" t="s">
        <v>3</v>
      </c>
      <c r="O1" s="4"/>
      <c r="P1" s="8" t="s">
        <v>4</v>
      </c>
      <c r="S1" s="1"/>
      <c r="T1" s="2"/>
      <c r="U1" s="1"/>
      <c r="V1" s="1"/>
      <c r="W1" s="1"/>
      <c r="X1" s="1"/>
      <c r="Y1" s="1"/>
      <c r="Z1" s="1"/>
      <c r="AA1" s="1"/>
    </row>
    <row r="2">
      <c r="A2" s="9"/>
      <c r="B2" s="9"/>
      <c r="C2" s="9"/>
      <c r="D2" s="9"/>
      <c r="E2" s="9"/>
      <c r="F2" s="9"/>
      <c r="G2" s="9"/>
      <c r="H2" s="9"/>
      <c r="I2" s="9"/>
      <c r="J2" s="10"/>
      <c r="K2" s="9"/>
      <c r="L2" s="11"/>
      <c r="M2" s="86"/>
      <c r="N2" s="9"/>
      <c r="O2" s="9"/>
      <c r="P2" s="12"/>
      <c r="Q2" s="9"/>
      <c r="R2" s="9"/>
      <c r="S2" s="1"/>
      <c r="T2" s="11"/>
      <c r="U2" s="1"/>
      <c r="V2" s="1"/>
      <c r="W2" s="1"/>
      <c r="X2" s="1"/>
      <c r="Y2" s="1"/>
      <c r="Z2" s="1"/>
      <c r="AA2" s="1"/>
    </row>
    <row r="3" ht="33.75" customHeight="1">
      <c r="A3" s="13" t="s">
        <v>5</v>
      </c>
      <c r="B3" s="13" t="s">
        <v>6</v>
      </c>
      <c r="C3" s="13" t="s">
        <v>7</v>
      </c>
      <c r="D3" s="13" t="s">
        <v>8</v>
      </c>
      <c r="E3" s="14" t="s">
        <v>9</v>
      </c>
      <c r="F3" s="15"/>
      <c r="G3" s="14" t="s">
        <v>10</v>
      </c>
      <c r="H3" s="15"/>
      <c r="I3" s="13" t="s">
        <v>11</v>
      </c>
      <c r="J3" s="16" t="s">
        <v>12</v>
      </c>
      <c r="K3" s="13" t="s">
        <v>13</v>
      </c>
      <c r="L3" s="13" t="s">
        <v>14</v>
      </c>
      <c r="M3" s="13" t="s">
        <v>15</v>
      </c>
      <c r="N3" s="17" t="s">
        <v>16</v>
      </c>
      <c r="O3" s="13" t="s">
        <v>17</v>
      </c>
      <c r="P3" s="18" t="s">
        <v>18</v>
      </c>
      <c r="Q3" s="13" t="s">
        <v>19</v>
      </c>
      <c r="R3" s="13" t="s">
        <v>20</v>
      </c>
      <c r="S3" s="21"/>
      <c r="T3" s="20" t="s">
        <v>21</v>
      </c>
      <c r="U3" s="21"/>
      <c r="V3" s="78" t="s">
        <v>22</v>
      </c>
      <c r="W3" s="79" t="s">
        <v>23</v>
      </c>
      <c r="X3" s="21"/>
      <c r="Y3" s="21"/>
      <c r="Z3" s="21"/>
      <c r="AA3" s="21"/>
    </row>
    <row r="4" ht="33.75" customHeight="1">
      <c r="A4" s="31" t="s">
        <v>25</v>
      </c>
      <c r="B4" s="32" t="s">
        <v>26</v>
      </c>
      <c r="C4" s="32" t="s">
        <v>27</v>
      </c>
      <c r="D4" s="33" t="s">
        <v>28</v>
      </c>
      <c r="E4" s="33" t="s">
        <v>29</v>
      </c>
      <c r="F4" s="33" t="s">
        <v>30</v>
      </c>
      <c r="G4" s="33" t="s">
        <v>29</v>
      </c>
      <c r="H4" s="33" t="s">
        <v>30</v>
      </c>
      <c r="I4" s="33" t="s">
        <v>31</v>
      </c>
      <c r="J4" s="34" t="s">
        <v>32</v>
      </c>
      <c r="K4" s="32">
        <v>1994.0</v>
      </c>
      <c r="L4" s="35">
        <v>29758.0</v>
      </c>
      <c r="M4" s="36" t="s">
        <v>33</v>
      </c>
      <c r="N4" s="37" t="s">
        <v>34</v>
      </c>
      <c r="O4" s="33" t="s">
        <v>35</v>
      </c>
      <c r="P4" s="37" t="s">
        <v>36</v>
      </c>
      <c r="Q4" s="38">
        <v>85855.0</v>
      </c>
      <c r="R4" s="32">
        <v>1.0</v>
      </c>
      <c r="S4" s="48" t="s">
        <v>80</v>
      </c>
      <c r="T4" s="65">
        <v>45565.0</v>
      </c>
      <c r="U4" s="21"/>
      <c r="V4" s="80">
        <f t="shared" ref="V4:V35" si="1">(T4-L4)/365</f>
        <v>43.30684932</v>
      </c>
      <c r="W4" s="81">
        <f t="shared" ref="W4:W35" si="2">(TODAY()-L4)/365</f>
        <v>45.09589041</v>
      </c>
      <c r="X4" s="21"/>
      <c r="Y4" s="21"/>
      <c r="Z4" s="21"/>
      <c r="AA4" s="21"/>
    </row>
    <row r="5" ht="33.75" customHeight="1">
      <c r="A5" s="31" t="s">
        <v>25</v>
      </c>
      <c r="B5" s="32" t="s">
        <v>126</v>
      </c>
      <c r="C5" s="32" t="s">
        <v>47</v>
      </c>
      <c r="D5" s="33" t="s">
        <v>39</v>
      </c>
      <c r="E5" s="33" t="s">
        <v>40</v>
      </c>
      <c r="F5" s="33" t="s">
        <v>30</v>
      </c>
      <c r="G5" s="33" t="s">
        <v>29</v>
      </c>
      <c r="H5" s="33" t="s">
        <v>30</v>
      </c>
      <c r="I5" s="33" t="s">
        <v>41</v>
      </c>
      <c r="J5" s="40">
        <v>0.0</v>
      </c>
      <c r="K5" s="33" t="s">
        <v>42</v>
      </c>
      <c r="L5" s="35">
        <v>29102.0</v>
      </c>
      <c r="M5" s="36" t="s">
        <v>127</v>
      </c>
      <c r="N5" s="37" t="s">
        <v>128</v>
      </c>
      <c r="O5" s="33" t="s">
        <v>35</v>
      </c>
      <c r="P5" s="37" t="s">
        <v>129</v>
      </c>
      <c r="Q5" s="32">
        <v>697263.0</v>
      </c>
      <c r="R5" s="32">
        <f t="shared" ref="R5:R35" si="3">R4+1</f>
        <v>2</v>
      </c>
      <c r="S5" s="83"/>
      <c r="T5" s="65">
        <v>45565.0</v>
      </c>
      <c r="U5" s="21"/>
      <c r="V5" s="80">
        <f t="shared" si="1"/>
        <v>45.10410959</v>
      </c>
      <c r="W5" s="81">
        <f t="shared" si="2"/>
        <v>46.89315068</v>
      </c>
      <c r="X5" s="21"/>
      <c r="Y5" s="21"/>
      <c r="Z5" s="21"/>
      <c r="AA5" s="21"/>
    </row>
    <row r="6" ht="33.75" customHeight="1">
      <c r="A6" s="31" t="s">
        <v>25</v>
      </c>
      <c r="B6" s="32" t="s">
        <v>130</v>
      </c>
      <c r="C6" s="32" t="s">
        <v>53</v>
      </c>
      <c r="D6" s="33" t="s">
        <v>54</v>
      </c>
      <c r="E6" s="33" t="s">
        <v>29</v>
      </c>
      <c r="F6" s="33" t="s">
        <v>30</v>
      </c>
      <c r="G6" s="33" t="s">
        <v>29</v>
      </c>
      <c r="H6" s="33" t="s">
        <v>30</v>
      </c>
      <c r="I6" s="33" t="s">
        <v>131</v>
      </c>
      <c r="J6" s="34" t="s">
        <v>132</v>
      </c>
      <c r="K6" s="33" t="s">
        <v>42</v>
      </c>
      <c r="L6" s="35">
        <v>17036.0</v>
      </c>
      <c r="M6" s="36" t="s">
        <v>133</v>
      </c>
      <c r="N6" s="37" t="s">
        <v>134</v>
      </c>
      <c r="O6" s="33" t="s">
        <v>56</v>
      </c>
      <c r="P6" s="37" t="s">
        <v>128</v>
      </c>
      <c r="Q6" s="32">
        <v>633202.0</v>
      </c>
      <c r="R6" s="32">
        <f t="shared" si="3"/>
        <v>3</v>
      </c>
      <c r="S6" s="87" t="s">
        <v>203</v>
      </c>
      <c r="T6" s="65">
        <v>45565.0</v>
      </c>
      <c r="U6" s="21"/>
      <c r="V6" s="80">
        <f t="shared" si="1"/>
        <v>78.16164384</v>
      </c>
      <c r="W6" s="81">
        <f t="shared" si="2"/>
        <v>79.95068493</v>
      </c>
      <c r="X6" s="21"/>
      <c r="Y6" s="21"/>
      <c r="Z6" s="21"/>
      <c r="AA6" s="21"/>
    </row>
    <row r="7" ht="33.75" customHeight="1">
      <c r="A7" s="31" t="s">
        <v>25</v>
      </c>
      <c r="B7" s="32" t="s">
        <v>135</v>
      </c>
      <c r="C7" s="32" t="s">
        <v>75</v>
      </c>
      <c r="D7" s="33" t="s">
        <v>54</v>
      </c>
      <c r="E7" s="33" t="s">
        <v>40</v>
      </c>
      <c r="F7" s="33" t="s">
        <v>30</v>
      </c>
      <c r="G7" s="33" t="s">
        <v>29</v>
      </c>
      <c r="H7" s="33" t="s">
        <v>30</v>
      </c>
      <c r="I7" s="33" t="s">
        <v>48</v>
      </c>
      <c r="J7" s="40">
        <v>0.0</v>
      </c>
      <c r="K7" s="33" t="s">
        <v>42</v>
      </c>
      <c r="L7" s="35">
        <v>19489.0</v>
      </c>
      <c r="M7" s="36" t="s">
        <v>136</v>
      </c>
      <c r="N7" s="37" t="s">
        <v>137</v>
      </c>
      <c r="O7" s="33" t="s">
        <v>56</v>
      </c>
      <c r="P7" s="37" t="s">
        <v>138</v>
      </c>
      <c r="Q7" s="32">
        <v>690594.0</v>
      </c>
      <c r="R7" s="32">
        <f t="shared" si="3"/>
        <v>4</v>
      </c>
      <c r="S7" s="83"/>
      <c r="T7" s="65">
        <v>45565.0</v>
      </c>
      <c r="U7" s="21"/>
      <c r="V7" s="80">
        <f t="shared" si="1"/>
        <v>71.44109589</v>
      </c>
      <c r="W7" s="81">
        <f t="shared" si="2"/>
        <v>73.23013699</v>
      </c>
      <c r="X7" s="21"/>
      <c r="Y7" s="21"/>
      <c r="Z7" s="21"/>
      <c r="AA7" s="21"/>
    </row>
    <row r="8" ht="33.75" customHeight="1">
      <c r="A8" s="31" t="s">
        <v>37</v>
      </c>
      <c r="B8" s="32" t="s">
        <v>38</v>
      </c>
      <c r="C8" s="32" t="s">
        <v>27</v>
      </c>
      <c r="D8" s="33" t="s">
        <v>39</v>
      </c>
      <c r="E8" s="33" t="s">
        <v>40</v>
      </c>
      <c r="F8" s="33" t="s">
        <v>30</v>
      </c>
      <c r="G8" s="33" t="s">
        <v>29</v>
      </c>
      <c r="H8" s="33" t="s">
        <v>30</v>
      </c>
      <c r="I8" s="33" t="s">
        <v>41</v>
      </c>
      <c r="J8" s="40">
        <v>0.0</v>
      </c>
      <c r="K8" s="33" t="s">
        <v>42</v>
      </c>
      <c r="L8" s="35">
        <v>26511.0</v>
      </c>
      <c r="M8" s="36" t="s">
        <v>43</v>
      </c>
      <c r="N8" s="37" t="s">
        <v>44</v>
      </c>
      <c r="O8" s="33" t="s">
        <v>35</v>
      </c>
      <c r="P8" s="37" t="s">
        <v>45</v>
      </c>
      <c r="Q8" s="32">
        <v>629409.0</v>
      </c>
      <c r="R8" s="32">
        <f t="shared" si="3"/>
        <v>5</v>
      </c>
      <c r="S8" s="37" t="s">
        <v>45</v>
      </c>
      <c r="T8" s="65">
        <v>45565.0</v>
      </c>
      <c r="U8" s="21"/>
      <c r="V8" s="80">
        <f t="shared" si="1"/>
        <v>52.20273973</v>
      </c>
      <c r="W8" s="81">
        <f t="shared" si="2"/>
        <v>53.99178082</v>
      </c>
      <c r="X8" s="21"/>
      <c r="Y8" s="21"/>
      <c r="Z8" s="21"/>
      <c r="AA8" s="21"/>
    </row>
    <row r="9" ht="33.75" customHeight="1">
      <c r="A9" s="31" t="s">
        <v>37</v>
      </c>
      <c r="B9" s="32" t="s">
        <v>46</v>
      </c>
      <c r="C9" s="32" t="s">
        <v>47</v>
      </c>
      <c r="D9" s="33" t="s">
        <v>39</v>
      </c>
      <c r="E9" s="33" t="s">
        <v>40</v>
      </c>
      <c r="F9" s="33" t="s">
        <v>30</v>
      </c>
      <c r="G9" s="33" t="s">
        <v>29</v>
      </c>
      <c r="H9" s="33" t="s">
        <v>30</v>
      </c>
      <c r="I9" s="33" t="s">
        <v>48</v>
      </c>
      <c r="J9" s="40">
        <v>0.0</v>
      </c>
      <c r="K9" s="33" t="s">
        <v>42</v>
      </c>
      <c r="L9" s="35">
        <v>27595.0</v>
      </c>
      <c r="M9" s="36" t="s">
        <v>49</v>
      </c>
      <c r="N9" s="37" t="s">
        <v>50</v>
      </c>
      <c r="O9" s="33" t="s">
        <v>35</v>
      </c>
      <c r="P9" s="37" t="s">
        <v>51</v>
      </c>
      <c r="Q9" s="32">
        <v>691771.0</v>
      </c>
      <c r="R9" s="32">
        <f t="shared" si="3"/>
        <v>6</v>
      </c>
      <c r="S9" s="47" t="s">
        <v>102</v>
      </c>
      <c r="T9" s="65">
        <v>45565.0</v>
      </c>
      <c r="U9" s="21"/>
      <c r="V9" s="80">
        <f t="shared" si="1"/>
        <v>49.23287671</v>
      </c>
      <c r="W9" s="81">
        <f t="shared" si="2"/>
        <v>51.02191781</v>
      </c>
      <c r="X9" s="21"/>
      <c r="Y9" s="21"/>
      <c r="Z9" s="21"/>
      <c r="AA9" s="21"/>
    </row>
    <row r="10" ht="33.75" customHeight="1">
      <c r="A10" s="31" t="s">
        <v>25</v>
      </c>
      <c r="B10" s="32" t="s">
        <v>139</v>
      </c>
      <c r="C10" s="32" t="s">
        <v>53</v>
      </c>
      <c r="D10" s="33" t="s">
        <v>140</v>
      </c>
      <c r="E10" s="33" t="s">
        <v>40</v>
      </c>
      <c r="F10" s="33" t="s">
        <v>30</v>
      </c>
      <c r="G10" s="33" t="s">
        <v>29</v>
      </c>
      <c r="H10" s="33" t="s">
        <v>30</v>
      </c>
      <c r="I10" s="33" t="s">
        <v>48</v>
      </c>
      <c r="J10" s="34" t="s">
        <v>141</v>
      </c>
      <c r="K10" s="33" t="s">
        <v>42</v>
      </c>
      <c r="L10" s="35">
        <v>21596.0</v>
      </c>
      <c r="M10" s="36" t="s">
        <v>142</v>
      </c>
      <c r="N10" s="37" t="s">
        <v>143</v>
      </c>
      <c r="O10" s="33" t="s">
        <v>56</v>
      </c>
      <c r="P10" s="37" t="s">
        <v>144</v>
      </c>
      <c r="Q10" s="32">
        <v>600898.0</v>
      </c>
      <c r="R10" s="32">
        <f t="shared" si="3"/>
        <v>7</v>
      </c>
      <c r="S10" s="37" t="s">
        <v>144</v>
      </c>
      <c r="T10" s="65">
        <v>45565.0</v>
      </c>
      <c r="U10" s="21"/>
      <c r="V10" s="80">
        <f t="shared" si="1"/>
        <v>65.66849315</v>
      </c>
      <c r="W10" s="81">
        <f t="shared" si="2"/>
        <v>67.45753425</v>
      </c>
      <c r="X10" s="21"/>
      <c r="Y10" s="21"/>
      <c r="Z10" s="21"/>
      <c r="AA10" s="21"/>
    </row>
    <row r="11" ht="33.75" customHeight="1">
      <c r="A11" s="31" t="s">
        <v>25</v>
      </c>
      <c r="B11" s="32" t="s">
        <v>145</v>
      </c>
      <c r="C11" s="32" t="s">
        <v>53</v>
      </c>
      <c r="D11" s="33" t="s">
        <v>54</v>
      </c>
      <c r="E11" s="33" t="s">
        <v>29</v>
      </c>
      <c r="F11" s="33" t="s">
        <v>30</v>
      </c>
      <c r="G11" s="33" t="s">
        <v>29</v>
      </c>
      <c r="H11" s="33" t="s">
        <v>30</v>
      </c>
      <c r="I11" s="33" t="s">
        <v>31</v>
      </c>
      <c r="J11" s="41"/>
      <c r="K11" s="33" t="s">
        <v>42</v>
      </c>
      <c r="L11" s="35">
        <v>12936.0</v>
      </c>
      <c r="M11" s="36" t="s">
        <v>146</v>
      </c>
      <c r="N11" s="37" t="s">
        <v>147</v>
      </c>
      <c r="O11" s="33" t="s">
        <v>56</v>
      </c>
      <c r="P11" s="37" t="s">
        <v>148</v>
      </c>
      <c r="Q11" s="32">
        <v>626871.0</v>
      </c>
      <c r="R11" s="32">
        <f t="shared" si="3"/>
        <v>8</v>
      </c>
      <c r="S11" s="83"/>
      <c r="T11" s="65">
        <v>45565.0</v>
      </c>
      <c r="U11" s="21"/>
      <c r="V11" s="80">
        <f t="shared" si="1"/>
        <v>89.39452055</v>
      </c>
      <c r="W11" s="81">
        <f t="shared" si="2"/>
        <v>91.18356164</v>
      </c>
      <c r="X11" s="21"/>
      <c r="Y11" s="21"/>
      <c r="Z11" s="21"/>
      <c r="AA11" s="21"/>
    </row>
    <row r="12" ht="33.75" customHeight="1">
      <c r="A12" s="31" t="s">
        <v>25</v>
      </c>
      <c r="B12" s="32" t="s">
        <v>52</v>
      </c>
      <c r="C12" s="32" t="s">
        <v>53</v>
      </c>
      <c r="D12" s="33" t="s">
        <v>54</v>
      </c>
      <c r="E12" s="33" t="s">
        <v>40</v>
      </c>
      <c r="F12" s="33" t="s">
        <v>30</v>
      </c>
      <c r="G12" s="33" t="s">
        <v>29</v>
      </c>
      <c r="H12" s="33" t="s">
        <v>30</v>
      </c>
      <c r="I12" s="33" t="s">
        <v>41</v>
      </c>
      <c r="J12" s="41"/>
      <c r="K12" s="33" t="s">
        <v>42</v>
      </c>
      <c r="L12" s="35">
        <v>17434.0</v>
      </c>
      <c r="M12" s="36" t="s">
        <v>49</v>
      </c>
      <c r="N12" s="37" t="s">
        <v>55</v>
      </c>
      <c r="O12" s="33" t="s">
        <v>56</v>
      </c>
      <c r="P12" s="37" t="s">
        <v>50</v>
      </c>
      <c r="Q12" s="32">
        <v>600790.0</v>
      </c>
      <c r="R12" s="32">
        <f t="shared" si="3"/>
        <v>9</v>
      </c>
      <c r="S12" s="83"/>
      <c r="T12" s="65">
        <v>45565.0</v>
      </c>
      <c r="U12" s="21"/>
      <c r="V12" s="80">
        <f t="shared" si="1"/>
        <v>77.07123288</v>
      </c>
      <c r="W12" s="81">
        <f t="shared" si="2"/>
        <v>78.86027397</v>
      </c>
      <c r="X12" s="21"/>
      <c r="Y12" s="21"/>
      <c r="Z12" s="21"/>
      <c r="AA12" s="21"/>
    </row>
    <row r="13" ht="33.75" customHeight="1">
      <c r="A13" s="31" t="s">
        <v>25</v>
      </c>
      <c r="B13" s="32" t="s">
        <v>149</v>
      </c>
      <c r="C13" s="32" t="s">
        <v>53</v>
      </c>
      <c r="D13" s="33" t="s">
        <v>39</v>
      </c>
      <c r="E13" s="33" t="s">
        <v>40</v>
      </c>
      <c r="F13" s="33" t="s">
        <v>30</v>
      </c>
      <c r="G13" s="33" t="s">
        <v>29</v>
      </c>
      <c r="H13" s="33" t="s">
        <v>30</v>
      </c>
      <c r="I13" s="33" t="s">
        <v>41</v>
      </c>
      <c r="J13" s="43" t="s">
        <v>150</v>
      </c>
      <c r="K13" s="33" t="s">
        <v>42</v>
      </c>
      <c r="L13" s="35">
        <v>26988.0</v>
      </c>
      <c r="M13" s="36" t="s">
        <v>151</v>
      </c>
      <c r="N13" s="37" t="s">
        <v>148</v>
      </c>
      <c r="O13" s="33" t="s">
        <v>35</v>
      </c>
      <c r="P13" s="37" t="s">
        <v>152</v>
      </c>
      <c r="Q13" s="32">
        <v>629430.0</v>
      </c>
      <c r="R13" s="32">
        <f t="shared" si="3"/>
        <v>10</v>
      </c>
      <c r="S13" s="83"/>
      <c r="T13" s="65">
        <v>45565.0</v>
      </c>
      <c r="U13" s="21"/>
      <c r="V13" s="80">
        <f t="shared" si="1"/>
        <v>50.89589041</v>
      </c>
      <c r="W13" s="81">
        <f t="shared" si="2"/>
        <v>52.68493151</v>
      </c>
      <c r="X13" s="21"/>
      <c r="Y13" s="21"/>
      <c r="Z13" s="21"/>
      <c r="AA13" s="21"/>
    </row>
    <row r="14" ht="33.75" customHeight="1">
      <c r="A14" s="31" t="s">
        <v>25</v>
      </c>
      <c r="B14" s="68" t="s">
        <v>153</v>
      </c>
      <c r="C14" s="32" t="s">
        <v>53</v>
      </c>
      <c r="D14" s="42" t="s">
        <v>76</v>
      </c>
      <c r="E14" s="33" t="s">
        <v>40</v>
      </c>
      <c r="F14" s="33" t="s">
        <v>30</v>
      </c>
      <c r="G14" s="33" t="s">
        <v>29</v>
      </c>
      <c r="H14" s="33" t="s">
        <v>30</v>
      </c>
      <c r="I14" s="33" t="s">
        <v>154</v>
      </c>
      <c r="J14" s="44" t="s">
        <v>155</v>
      </c>
      <c r="K14" s="33" t="s">
        <v>42</v>
      </c>
      <c r="L14" s="35">
        <v>29319.0</v>
      </c>
      <c r="M14" s="36" t="s">
        <v>156</v>
      </c>
      <c r="N14" s="37" t="s">
        <v>157</v>
      </c>
      <c r="O14" s="33" t="s">
        <v>35</v>
      </c>
      <c r="P14" s="37" t="s">
        <v>158</v>
      </c>
      <c r="Q14" s="32">
        <v>73236.0</v>
      </c>
      <c r="R14" s="32">
        <f t="shared" si="3"/>
        <v>11</v>
      </c>
      <c r="S14" s="37" t="s">
        <v>158</v>
      </c>
      <c r="T14" s="65">
        <v>45565.0</v>
      </c>
      <c r="U14" s="21"/>
      <c r="V14" s="80">
        <f t="shared" si="1"/>
        <v>44.50958904</v>
      </c>
      <c r="W14" s="81">
        <f t="shared" si="2"/>
        <v>46.29863014</v>
      </c>
      <c r="X14" s="21"/>
      <c r="Y14" s="21"/>
      <c r="Z14" s="21"/>
      <c r="AA14" s="21"/>
    </row>
    <row r="15" ht="33.75" customHeight="1">
      <c r="A15" s="31" t="s">
        <v>25</v>
      </c>
      <c r="B15" s="32" t="s">
        <v>159</v>
      </c>
      <c r="C15" s="32" t="s">
        <v>75</v>
      </c>
      <c r="D15" s="33" t="s">
        <v>39</v>
      </c>
      <c r="E15" s="33" t="s">
        <v>40</v>
      </c>
      <c r="F15" s="33" t="s">
        <v>30</v>
      </c>
      <c r="G15" s="33" t="s">
        <v>29</v>
      </c>
      <c r="H15" s="33" t="s">
        <v>30</v>
      </c>
      <c r="I15" s="33" t="s">
        <v>41</v>
      </c>
      <c r="J15" s="41"/>
      <c r="K15" s="33" t="s">
        <v>42</v>
      </c>
      <c r="L15" s="35">
        <v>29895.0</v>
      </c>
      <c r="M15" s="36" t="s">
        <v>160</v>
      </c>
      <c r="N15" s="37" t="s">
        <v>161</v>
      </c>
      <c r="O15" s="33" t="s">
        <v>35</v>
      </c>
      <c r="P15" s="37" t="s">
        <v>162</v>
      </c>
      <c r="Q15" s="32">
        <v>698781.0</v>
      </c>
      <c r="R15" s="32">
        <f t="shared" si="3"/>
        <v>12</v>
      </c>
      <c r="S15" s="83"/>
      <c r="T15" s="65">
        <v>45565.0</v>
      </c>
      <c r="U15" s="21"/>
      <c r="V15" s="80">
        <f t="shared" si="1"/>
        <v>42.93150685</v>
      </c>
      <c r="W15" s="81">
        <f t="shared" si="2"/>
        <v>44.72054795</v>
      </c>
      <c r="X15" s="21"/>
      <c r="Y15" s="21"/>
      <c r="Z15" s="21"/>
      <c r="AA15" s="21"/>
    </row>
    <row r="16" ht="33.75" customHeight="1">
      <c r="A16" s="31" t="s">
        <v>25</v>
      </c>
      <c r="B16" s="32" t="s">
        <v>163</v>
      </c>
      <c r="C16" s="32" t="s">
        <v>27</v>
      </c>
      <c r="D16" s="33" t="s">
        <v>54</v>
      </c>
      <c r="E16" s="33" t="s">
        <v>40</v>
      </c>
      <c r="F16" s="33" t="s">
        <v>30</v>
      </c>
      <c r="G16" s="33" t="s">
        <v>29</v>
      </c>
      <c r="H16" s="33" t="s">
        <v>30</v>
      </c>
      <c r="I16" s="33" t="s">
        <v>48</v>
      </c>
      <c r="J16" s="34" t="s">
        <v>164</v>
      </c>
      <c r="K16" s="33" t="s">
        <v>42</v>
      </c>
      <c r="L16" s="35">
        <v>21551.0</v>
      </c>
      <c r="M16" s="36" t="s">
        <v>165</v>
      </c>
      <c r="N16" s="37" t="s">
        <v>80</v>
      </c>
      <c r="O16" s="33" t="s">
        <v>56</v>
      </c>
      <c r="P16" s="37" t="s">
        <v>166</v>
      </c>
      <c r="Q16" s="32">
        <v>697260.0</v>
      </c>
      <c r="R16" s="32">
        <f t="shared" si="3"/>
        <v>13</v>
      </c>
      <c r="S16" s="83"/>
      <c r="T16" s="65">
        <v>45565.0</v>
      </c>
      <c r="U16" s="21"/>
      <c r="V16" s="80">
        <f t="shared" si="1"/>
        <v>65.79178082</v>
      </c>
      <c r="W16" s="81">
        <f t="shared" si="2"/>
        <v>67.58082192</v>
      </c>
      <c r="X16" s="21"/>
      <c r="Y16" s="21"/>
      <c r="Z16" s="21"/>
      <c r="AA16" s="21"/>
    </row>
    <row r="17" ht="33.75" customHeight="1">
      <c r="A17" s="31" t="s">
        <v>25</v>
      </c>
      <c r="B17" s="32" t="s">
        <v>57</v>
      </c>
      <c r="C17" s="32" t="s">
        <v>27</v>
      </c>
      <c r="D17" s="33" t="s">
        <v>54</v>
      </c>
      <c r="E17" s="33" t="s">
        <v>40</v>
      </c>
      <c r="F17" s="33" t="s">
        <v>30</v>
      </c>
      <c r="G17" s="33" t="s">
        <v>29</v>
      </c>
      <c r="H17" s="33" t="s">
        <v>30</v>
      </c>
      <c r="I17" s="42" t="s">
        <v>58</v>
      </c>
      <c r="J17" s="41"/>
      <c r="K17" s="33" t="s">
        <v>42</v>
      </c>
      <c r="L17" s="35">
        <v>20261.0</v>
      </c>
      <c r="M17" s="36" t="s">
        <v>59</v>
      </c>
      <c r="N17" s="37" t="s">
        <v>60</v>
      </c>
      <c r="O17" s="33" t="s">
        <v>56</v>
      </c>
      <c r="P17" s="37" t="s">
        <v>61</v>
      </c>
      <c r="Q17" s="32">
        <v>696347.0</v>
      </c>
      <c r="R17" s="32">
        <f t="shared" si="3"/>
        <v>14</v>
      </c>
      <c r="S17" s="37" t="s">
        <v>73</v>
      </c>
      <c r="T17" s="65">
        <v>45565.0</v>
      </c>
      <c r="U17" s="21"/>
      <c r="V17" s="80">
        <f t="shared" si="1"/>
        <v>69.3260274</v>
      </c>
      <c r="W17" s="81">
        <f t="shared" si="2"/>
        <v>71.11506849</v>
      </c>
      <c r="X17" s="21"/>
      <c r="Y17" s="21"/>
      <c r="Z17" s="21"/>
      <c r="AA17" s="21"/>
    </row>
    <row r="18" ht="33.75" customHeight="1">
      <c r="A18" s="31" t="s">
        <v>25</v>
      </c>
      <c r="B18" s="32" t="s">
        <v>167</v>
      </c>
      <c r="C18" s="32" t="s">
        <v>168</v>
      </c>
      <c r="D18" s="33" t="s">
        <v>39</v>
      </c>
      <c r="E18" s="33" t="s">
        <v>40</v>
      </c>
      <c r="F18" s="33" t="s">
        <v>30</v>
      </c>
      <c r="G18" s="33" t="s">
        <v>29</v>
      </c>
      <c r="H18" s="33" t="s">
        <v>30</v>
      </c>
      <c r="I18" s="33" t="s">
        <v>41</v>
      </c>
      <c r="J18" s="41"/>
      <c r="K18" s="33" t="s">
        <v>42</v>
      </c>
      <c r="L18" s="35">
        <v>27784.0</v>
      </c>
      <c r="M18" s="36" t="s">
        <v>169</v>
      </c>
      <c r="N18" s="37" t="s">
        <v>170</v>
      </c>
      <c r="O18" s="33" t="s">
        <v>35</v>
      </c>
      <c r="P18" s="37" t="s">
        <v>171</v>
      </c>
      <c r="Q18" s="32">
        <v>697262.0</v>
      </c>
      <c r="R18" s="32">
        <f t="shared" si="3"/>
        <v>15</v>
      </c>
      <c r="S18" s="37" t="s">
        <v>171</v>
      </c>
      <c r="T18" s="65">
        <v>45565.0</v>
      </c>
      <c r="U18" s="21"/>
      <c r="V18" s="80">
        <f t="shared" si="1"/>
        <v>48.71506849</v>
      </c>
      <c r="W18" s="81">
        <f t="shared" si="2"/>
        <v>50.50410959</v>
      </c>
      <c r="X18" s="21"/>
      <c r="Y18" s="21"/>
      <c r="Z18" s="21"/>
      <c r="AA18" s="21"/>
    </row>
    <row r="19" ht="33.75" customHeight="1">
      <c r="A19" s="31" t="s">
        <v>25</v>
      </c>
      <c r="B19" s="32" t="s">
        <v>62</v>
      </c>
      <c r="C19" s="32" t="s">
        <v>53</v>
      </c>
      <c r="D19" s="33" t="s">
        <v>54</v>
      </c>
      <c r="E19" s="33" t="s">
        <v>40</v>
      </c>
      <c r="F19" s="33" t="s">
        <v>30</v>
      </c>
      <c r="G19" s="33" t="s">
        <v>29</v>
      </c>
      <c r="H19" s="33" t="s">
        <v>30</v>
      </c>
      <c r="I19" s="33" t="s">
        <v>63</v>
      </c>
      <c r="J19" s="34" t="s">
        <v>64</v>
      </c>
      <c r="K19" s="33" t="s">
        <v>42</v>
      </c>
      <c r="L19" s="35">
        <v>19786.0</v>
      </c>
      <c r="M19" s="36" t="s">
        <v>65</v>
      </c>
      <c r="N19" s="37" t="s">
        <v>66</v>
      </c>
      <c r="O19" s="33" t="s">
        <v>56</v>
      </c>
      <c r="P19" s="37" t="s">
        <v>67</v>
      </c>
      <c r="Q19" s="32">
        <v>633185.0</v>
      </c>
      <c r="R19" s="32">
        <f t="shared" si="3"/>
        <v>16</v>
      </c>
      <c r="S19" s="37" t="s">
        <v>73</v>
      </c>
      <c r="T19" s="65">
        <v>45565.0</v>
      </c>
      <c r="U19" s="21"/>
      <c r="V19" s="80">
        <f t="shared" si="1"/>
        <v>70.62739726</v>
      </c>
      <c r="W19" s="81">
        <f t="shared" si="2"/>
        <v>72.41643836</v>
      </c>
      <c r="X19" s="21"/>
      <c r="Y19" s="21"/>
      <c r="Z19" s="21"/>
      <c r="AA19" s="21"/>
    </row>
    <row r="20" ht="33.75" customHeight="1">
      <c r="A20" s="31" t="s">
        <v>25</v>
      </c>
      <c r="B20" s="32" t="s">
        <v>68</v>
      </c>
      <c r="C20" s="32" t="s">
        <v>69</v>
      </c>
      <c r="D20" s="33" t="s">
        <v>39</v>
      </c>
      <c r="E20" s="33" t="s">
        <v>40</v>
      </c>
      <c r="F20" s="33" t="s">
        <v>30</v>
      </c>
      <c r="G20" s="33" t="s">
        <v>29</v>
      </c>
      <c r="H20" s="33" t="s">
        <v>30</v>
      </c>
      <c r="I20" s="33" t="s">
        <v>48</v>
      </c>
      <c r="J20" s="43" t="s">
        <v>70</v>
      </c>
      <c r="K20" s="33" t="s">
        <v>42</v>
      </c>
      <c r="L20" s="35">
        <v>23531.0</v>
      </c>
      <c r="M20" s="36" t="s">
        <v>71</v>
      </c>
      <c r="N20" s="37" t="s">
        <v>72</v>
      </c>
      <c r="O20" s="33" t="s">
        <v>56</v>
      </c>
      <c r="P20" s="37" t="s">
        <v>73</v>
      </c>
      <c r="Q20" s="32">
        <v>626887.0</v>
      </c>
      <c r="R20" s="32">
        <f t="shared" si="3"/>
        <v>17</v>
      </c>
      <c r="S20" s="37" t="s">
        <v>73</v>
      </c>
      <c r="T20" s="65">
        <v>45565.0</v>
      </c>
      <c r="U20" s="21"/>
      <c r="V20" s="80">
        <f t="shared" si="1"/>
        <v>60.36712329</v>
      </c>
      <c r="W20" s="81">
        <f t="shared" si="2"/>
        <v>62.15616438</v>
      </c>
      <c r="X20" s="21"/>
      <c r="Y20" s="21"/>
      <c r="Z20" s="21"/>
      <c r="AA20" s="21"/>
    </row>
    <row r="21" ht="33.75" customHeight="1">
      <c r="A21" s="31" t="s">
        <v>25</v>
      </c>
      <c r="B21" s="32" t="s">
        <v>172</v>
      </c>
      <c r="C21" s="32" t="s">
        <v>27</v>
      </c>
      <c r="D21" s="33" t="s">
        <v>54</v>
      </c>
      <c r="E21" s="33" t="s">
        <v>40</v>
      </c>
      <c r="F21" s="33" t="s">
        <v>30</v>
      </c>
      <c r="G21" s="33" t="s">
        <v>29</v>
      </c>
      <c r="H21" s="33" t="s">
        <v>30</v>
      </c>
      <c r="I21" s="33" t="s">
        <v>48</v>
      </c>
      <c r="J21" s="41"/>
      <c r="K21" s="33" t="s">
        <v>42</v>
      </c>
      <c r="L21" s="35">
        <v>19299.0</v>
      </c>
      <c r="M21" s="36" t="s">
        <v>173</v>
      </c>
      <c r="N21" s="37" t="s">
        <v>174</v>
      </c>
      <c r="O21" s="33" t="s">
        <v>56</v>
      </c>
      <c r="P21" s="37" t="s">
        <v>175</v>
      </c>
      <c r="Q21" s="32">
        <v>629414.0</v>
      </c>
      <c r="R21" s="32">
        <f t="shared" si="3"/>
        <v>18</v>
      </c>
      <c r="S21" s="87" t="s">
        <v>203</v>
      </c>
      <c r="T21" s="65">
        <v>45565.0</v>
      </c>
      <c r="U21" s="21"/>
      <c r="V21" s="80">
        <f t="shared" si="1"/>
        <v>71.96164384</v>
      </c>
      <c r="W21" s="81">
        <f t="shared" si="2"/>
        <v>73.75068493</v>
      </c>
      <c r="X21" s="21"/>
      <c r="Y21" s="21"/>
      <c r="Z21" s="21"/>
      <c r="AA21" s="21"/>
    </row>
    <row r="22" ht="33.75" customHeight="1">
      <c r="A22" s="31" t="s">
        <v>25</v>
      </c>
      <c r="B22" s="32" t="s">
        <v>176</v>
      </c>
      <c r="C22" s="32" t="s">
        <v>47</v>
      </c>
      <c r="D22" s="33" t="s">
        <v>39</v>
      </c>
      <c r="E22" s="33" t="s">
        <v>29</v>
      </c>
      <c r="F22" s="33" t="s">
        <v>30</v>
      </c>
      <c r="G22" s="33" t="s">
        <v>29</v>
      </c>
      <c r="H22" s="33" t="s">
        <v>30</v>
      </c>
      <c r="I22" s="33" t="s">
        <v>63</v>
      </c>
      <c r="J22" s="44" t="s">
        <v>177</v>
      </c>
      <c r="K22" s="33" t="s">
        <v>42</v>
      </c>
      <c r="L22" s="35">
        <v>22526.0</v>
      </c>
      <c r="M22" s="46" t="s">
        <v>178</v>
      </c>
      <c r="N22" s="37" t="s">
        <v>179</v>
      </c>
      <c r="O22" s="33" t="s">
        <v>56</v>
      </c>
      <c r="P22" s="37" t="s">
        <v>180</v>
      </c>
      <c r="Q22" s="32">
        <v>626872.0</v>
      </c>
      <c r="R22" s="32">
        <f t="shared" si="3"/>
        <v>19</v>
      </c>
      <c r="S22" s="37" t="s">
        <v>171</v>
      </c>
      <c r="T22" s="65">
        <v>45565.0</v>
      </c>
      <c r="U22" s="21"/>
      <c r="V22" s="80">
        <f t="shared" si="1"/>
        <v>63.12054795</v>
      </c>
      <c r="W22" s="81">
        <f t="shared" si="2"/>
        <v>64.90958904</v>
      </c>
      <c r="X22" s="21"/>
      <c r="Y22" s="21"/>
      <c r="Z22" s="21"/>
      <c r="AA22" s="21"/>
    </row>
    <row r="23" ht="33.75" customHeight="1">
      <c r="A23" s="38" t="s">
        <v>25</v>
      </c>
      <c r="B23" s="69"/>
      <c r="C23" s="32" t="s">
        <v>27</v>
      </c>
      <c r="D23" s="33" t="s">
        <v>54</v>
      </c>
      <c r="E23" s="42" t="s">
        <v>40</v>
      </c>
      <c r="F23" s="33" t="s">
        <v>30</v>
      </c>
      <c r="G23" s="33" t="s">
        <v>29</v>
      </c>
      <c r="H23" s="33" t="s">
        <v>30</v>
      </c>
      <c r="I23" s="42" t="s">
        <v>48</v>
      </c>
      <c r="J23" s="49"/>
      <c r="K23" s="42" t="s">
        <v>42</v>
      </c>
      <c r="L23" s="45">
        <v>27546.0</v>
      </c>
      <c r="M23" s="46" t="s">
        <v>181</v>
      </c>
      <c r="N23" s="47" t="s">
        <v>182</v>
      </c>
      <c r="O23" s="42" t="s">
        <v>35</v>
      </c>
      <c r="P23" s="48" t="s">
        <v>183</v>
      </c>
      <c r="Q23" s="38">
        <v>696346.0</v>
      </c>
      <c r="R23" s="38">
        <f t="shared" si="3"/>
        <v>20</v>
      </c>
      <c r="S23" s="37" t="s">
        <v>158</v>
      </c>
      <c r="T23" s="65">
        <v>45565.0</v>
      </c>
      <c r="U23" s="21"/>
      <c r="V23" s="80">
        <f t="shared" si="1"/>
        <v>49.36712329</v>
      </c>
      <c r="W23" s="81">
        <f t="shared" si="2"/>
        <v>51.15616438</v>
      </c>
      <c r="X23" s="21"/>
      <c r="Y23" s="21"/>
      <c r="Z23" s="21"/>
      <c r="AA23" s="21"/>
    </row>
    <row r="24" ht="33.75" customHeight="1">
      <c r="A24" s="38" t="s">
        <v>25</v>
      </c>
      <c r="B24" s="38" t="s">
        <v>74</v>
      </c>
      <c r="C24" s="38" t="s">
        <v>75</v>
      </c>
      <c r="D24" s="42" t="s">
        <v>76</v>
      </c>
      <c r="E24" s="42" t="s">
        <v>40</v>
      </c>
      <c r="F24" s="33" t="s">
        <v>30</v>
      </c>
      <c r="G24" s="33" t="s">
        <v>29</v>
      </c>
      <c r="H24" s="33" t="s">
        <v>30</v>
      </c>
      <c r="I24" s="42" t="s">
        <v>41</v>
      </c>
      <c r="J24" s="44" t="s">
        <v>77</v>
      </c>
      <c r="K24" s="42" t="s">
        <v>42</v>
      </c>
      <c r="L24" s="45">
        <v>30189.0</v>
      </c>
      <c r="M24" s="46" t="s">
        <v>78</v>
      </c>
      <c r="N24" s="47" t="s">
        <v>79</v>
      </c>
      <c r="O24" s="42" t="s">
        <v>35</v>
      </c>
      <c r="P24" s="48" t="s">
        <v>80</v>
      </c>
      <c r="Q24" s="38">
        <v>699653.0</v>
      </c>
      <c r="R24" s="38">
        <f t="shared" si="3"/>
        <v>21</v>
      </c>
      <c r="S24" s="48" t="s">
        <v>80</v>
      </c>
      <c r="T24" s="65">
        <v>45565.0</v>
      </c>
      <c r="U24" s="21"/>
      <c r="V24" s="80">
        <f t="shared" si="1"/>
        <v>42.1260274</v>
      </c>
      <c r="W24" s="81">
        <f t="shared" si="2"/>
        <v>43.91506849</v>
      </c>
      <c r="X24" s="21"/>
      <c r="Y24" s="21"/>
      <c r="Z24" s="21"/>
      <c r="AA24" s="21"/>
    </row>
    <row r="25" ht="33.75" customHeight="1">
      <c r="A25" s="38" t="s">
        <v>25</v>
      </c>
      <c r="B25" s="32" t="s">
        <v>81</v>
      </c>
      <c r="C25" s="32" t="s">
        <v>27</v>
      </c>
      <c r="D25" s="33" t="s">
        <v>39</v>
      </c>
      <c r="E25" s="42" t="s">
        <v>40</v>
      </c>
      <c r="F25" s="33" t="s">
        <v>30</v>
      </c>
      <c r="G25" s="33" t="s">
        <v>29</v>
      </c>
      <c r="H25" s="33" t="s">
        <v>30</v>
      </c>
      <c r="I25" s="42" t="s">
        <v>41</v>
      </c>
      <c r="J25" s="49"/>
      <c r="K25" s="42" t="s">
        <v>42</v>
      </c>
      <c r="L25" s="45">
        <v>26665.0</v>
      </c>
      <c r="M25" s="50" t="s">
        <v>82</v>
      </c>
      <c r="N25" s="47" t="s">
        <v>83</v>
      </c>
      <c r="O25" s="42" t="s">
        <v>35</v>
      </c>
      <c r="P25" s="48" t="s">
        <v>84</v>
      </c>
      <c r="Q25" s="38">
        <v>632609.0</v>
      </c>
      <c r="R25" s="38">
        <f t="shared" si="3"/>
        <v>22</v>
      </c>
      <c r="S25" s="88"/>
      <c r="T25" s="65">
        <v>45565.0</v>
      </c>
      <c r="U25" s="21"/>
      <c r="V25" s="80">
        <f t="shared" si="1"/>
        <v>51.78082192</v>
      </c>
      <c r="W25" s="81">
        <f t="shared" si="2"/>
        <v>53.56986301</v>
      </c>
      <c r="X25" s="21"/>
      <c r="Y25" s="21"/>
      <c r="Z25" s="21"/>
      <c r="AA25" s="21"/>
    </row>
    <row r="26" ht="33.75" customHeight="1">
      <c r="A26" s="38" t="s">
        <v>25</v>
      </c>
      <c r="B26" s="32" t="s">
        <v>184</v>
      </c>
      <c r="C26" s="32" t="s">
        <v>27</v>
      </c>
      <c r="D26" s="33" t="s">
        <v>39</v>
      </c>
      <c r="E26" s="42" t="s">
        <v>40</v>
      </c>
      <c r="F26" s="33" t="s">
        <v>30</v>
      </c>
      <c r="G26" s="33" t="s">
        <v>29</v>
      </c>
      <c r="H26" s="33" t="s">
        <v>30</v>
      </c>
      <c r="I26" s="42" t="s">
        <v>41</v>
      </c>
      <c r="J26" s="44" t="s">
        <v>185</v>
      </c>
      <c r="K26" s="42" t="s">
        <v>42</v>
      </c>
      <c r="L26" s="45">
        <v>26511.0</v>
      </c>
      <c r="M26" s="50" t="s">
        <v>186</v>
      </c>
      <c r="N26" s="47" t="s">
        <v>187</v>
      </c>
      <c r="O26" s="42" t="s">
        <v>35</v>
      </c>
      <c r="P26" s="48" t="s">
        <v>188</v>
      </c>
      <c r="Q26" s="38">
        <v>626847.0</v>
      </c>
      <c r="R26" s="38">
        <f t="shared" si="3"/>
        <v>23</v>
      </c>
      <c r="S26" s="87" t="s">
        <v>203</v>
      </c>
      <c r="T26" s="65">
        <v>45565.0</v>
      </c>
      <c r="U26" s="21"/>
      <c r="V26" s="80">
        <f t="shared" si="1"/>
        <v>52.20273973</v>
      </c>
      <c r="W26" s="81">
        <f t="shared" si="2"/>
        <v>53.99178082</v>
      </c>
      <c r="X26" s="21"/>
      <c r="Y26" s="21"/>
      <c r="Z26" s="21"/>
      <c r="AA26" s="21"/>
    </row>
    <row r="27" ht="33.75" customHeight="1">
      <c r="A27" s="38" t="s">
        <v>25</v>
      </c>
      <c r="B27" s="38" t="s">
        <v>85</v>
      </c>
      <c r="C27" s="38" t="s">
        <v>53</v>
      </c>
      <c r="D27" s="42" t="s">
        <v>76</v>
      </c>
      <c r="E27" s="42" t="s">
        <v>40</v>
      </c>
      <c r="F27" s="33" t="s">
        <v>30</v>
      </c>
      <c r="G27" s="33" t="s">
        <v>29</v>
      </c>
      <c r="H27" s="33" t="s">
        <v>30</v>
      </c>
      <c r="I27" s="42" t="s">
        <v>31</v>
      </c>
      <c r="J27" s="44" t="s">
        <v>86</v>
      </c>
      <c r="K27" s="42" t="s">
        <v>42</v>
      </c>
      <c r="L27" s="45">
        <v>29543.0</v>
      </c>
      <c r="M27" s="46" t="s">
        <v>87</v>
      </c>
      <c r="N27" s="47" t="s">
        <v>88</v>
      </c>
      <c r="O27" s="42" t="s">
        <v>35</v>
      </c>
      <c r="P27" s="48" t="s">
        <v>89</v>
      </c>
      <c r="Q27" s="38">
        <v>76290.0</v>
      </c>
      <c r="R27" s="38">
        <f t="shared" si="3"/>
        <v>24</v>
      </c>
      <c r="S27" s="37" t="s">
        <v>73</v>
      </c>
      <c r="T27" s="65">
        <v>45565.0</v>
      </c>
      <c r="U27" s="21"/>
      <c r="V27" s="80">
        <f t="shared" si="1"/>
        <v>43.89589041</v>
      </c>
      <c r="W27" s="81">
        <f t="shared" si="2"/>
        <v>45.68493151</v>
      </c>
      <c r="X27" s="21"/>
      <c r="Y27" s="21"/>
      <c r="Z27" s="21"/>
      <c r="AA27" s="21"/>
    </row>
    <row r="28" ht="33.75" customHeight="1">
      <c r="A28" s="38" t="s">
        <v>25</v>
      </c>
      <c r="B28" s="38" t="s">
        <v>189</v>
      </c>
      <c r="C28" s="38" t="s">
        <v>27</v>
      </c>
      <c r="D28" s="42" t="s">
        <v>76</v>
      </c>
      <c r="E28" s="42" t="s">
        <v>40</v>
      </c>
      <c r="F28" s="33" t="s">
        <v>30</v>
      </c>
      <c r="G28" s="33" t="s">
        <v>29</v>
      </c>
      <c r="H28" s="33" t="s">
        <v>30</v>
      </c>
      <c r="I28" s="33" t="s">
        <v>48</v>
      </c>
      <c r="J28" s="49"/>
      <c r="K28" s="42" t="s">
        <v>42</v>
      </c>
      <c r="L28" s="45">
        <v>25571.0</v>
      </c>
      <c r="M28" s="50" t="s">
        <v>190</v>
      </c>
      <c r="N28" s="47" t="s">
        <v>191</v>
      </c>
      <c r="O28" s="42" t="s">
        <v>35</v>
      </c>
      <c r="P28" s="48" t="s">
        <v>192</v>
      </c>
      <c r="Q28" s="38">
        <v>700623.0</v>
      </c>
      <c r="R28" s="38">
        <f t="shared" si="3"/>
        <v>25</v>
      </c>
      <c r="S28" s="48" t="s">
        <v>192</v>
      </c>
      <c r="T28" s="65">
        <v>45565.0</v>
      </c>
      <c r="U28" s="21"/>
      <c r="V28" s="80">
        <f t="shared" si="1"/>
        <v>54.77808219</v>
      </c>
      <c r="W28" s="81">
        <f t="shared" si="2"/>
        <v>56.56712329</v>
      </c>
      <c r="X28" s="21"/>
      <c r="Y28" s="21"/>
      <c r="Z28" s="21"/>
      <c r="AA28" s="21"/>
    </row>
    <row r="29" ht="33.75" customHeight="1">
      <c r="A29" s="38" t="s">
        <v>25</v>
      </c>
      <c r="B29" s="32" t="s">
        <v>90</v>
      </c>
      <c r="C29" s="38" t="s">
        <v>47</v>
      </c>
      <c r="D29" s="42" t="s">
        <v>76</v>
      </c>
      <c r="E29" s="42" t="s">
        <v>40</v>
      </c>
      <c r="F29" s="33" t="s">
        <v>30</v>
      </c>
      <c r="G29" s="33" t="s">
        <v>29</v>
      </c>
      <c r="H29" s="33" t="s">
        <v>30</v>
      </c>
      <c r="I29" s="42" t="s">
        <v>31</v>
      </c>
      <c r="J29" s="51" t="s">
        <v>91</v>
      </c>
      <c r="K29" s="42" t="s">
        <v>42</v>
      </c>
      <c r="L29" s="45">
        <v>22937.0</v>
      </c>
      <c r="M29" s="50" t="s">
        <v>92</v>
      </c>
      <c r="N29" s="47" t="s">
        <v>93</v>
      </c>
      <c r="O29" s="42" t="s">
        <v>56</v>
      </c>
      <c r="P29" s="48" t="s">
        <v>94</v>
      </c>
      <c r="Q29" s="38">
        <v>701872.0</v>
      </c>
      <c r="R29" s="38">
        <f t="shared" si="3"/>
        <v>26</v>
      </c>
      <c r="S29" s="88"/>
      <c r="T29" s="65">
        <v>45565.0</v>
      </c>
      <c r="U29" s="21"/>
      <c r="V29" s="80">
        <f t="shared" si="1"/>
        <v>61.99452055</v>
      </c>
      <c r="W29" s="81">
        <f t="shared" si="2"/>
        <v>63.78356164</v>
      </c>
      <c r="X29" s="21"/>
      <c r="Y29" s="21"/>
      <c r="Z29" s="21"/>
      <c r="AA29" s="21"/>
    </row>
    <row r="30" ht="33.75" customHeight="1">
      <c r="A30" s="38" t="s">
        <v>25</v>
      </c>
      <c r="B30" s="32" t="s">
        <v>114</v>
      </c>
      <c r="C30" s="38" t="s">
        <v>47</v>
      </c>
      <c r="D30" s="42" t="s">
        <v>115</v>
      </c>
      <c r="E30" s="33" t="s">
        <v>29</v>
      </c>
      <c r="F30" s="33" t="s">
        <v>30</v>
      </c>
      <c r="G30" s="33" t="s">
        <v>29</v>
      </c>
      <c r="H30" s="33" t="s">
        <v>30</v>
      </c>
      <c r="I30" s="42" t="s">
        <v>116</v>
      </c>
      <c r="J30" s="51" t="s">
        <v>117</v>
      </c>
      <c r="K30" s="42" t="s">
        <v>42</v>
      </c>
      <c r="L30" s="57">
        <v>28888.0</v>
      </c>
      <c r="M30" s="46" t="s">
        <v>118</v>
      </c>
      <c r="N30" s="47" t="s">
        <v>119</v>
      </c>
      <c r="O30" s="42" t="s">
        <v>35</v>
      </c>
      <c r="P30" s="48" t="s">
        <v>120</v>
      </c>
      <c r="Q30" s="38">
        <v>696463.0</v>
      </c>
      <c r="R30" s="38">
        <f t="shared" si="3"/>
        <v>27</v>
      </c>
      <c r="S30" s="88"/>
      <c r="T30" s="65">
        <v>45565.0</v>
      </c>
      <c r="U30" s="21"/>
      <c r="V30" s="80">
        <f t="shared" si="1"/>
        <v>45.69041096</v>
      </c>
      <c r="W30" s="81">
        <f t="shared" si="2"/>
        <v>47.47945205</v>
      </c>
      <c r="X30" s="21"/>
      <c r="Y30" s="21"/>
      <c r="Z30" s="21"/>
      <c r="AA30" s="21"/>
    </row>
    <row r="31" ht="33.75" customHeight="1">
      <c r="A31" s="31" t="s">
        <v>25</v>
      </c>
      <c r="B31" s="69"/>
      <c r="C31" s="32" t="s">
        <v>53</v>
      </c>
      <c r="D31" s="33" t="s">
        <v>54</v>
      </c>
      <c r="E31" s="33" t="s">
        <v>40</v>
      </c>
      <c r="F31" s="33" t="s">
        <v>30</v>
      </c>
      <c r="G31" s="33" t="s">
        <v>29</v>
      </c>
      <c r="H31" s="33" t="s">
        <v>30</v>
      </c>
      <c r="I31" s="33" t="s">
        <v>31</v>
      </c>
      <c r="J31" s="33" t="s">
        <v>40</v>
      </c>
      <c r="K31" s="33" t="s">
        <v>42</v>
      </c>
      <c r="L31" s="35">
        <v>22922.0</v>
      </c>
      <c r="M31" s="36" t="s">
        <v>193</v>
      </c>
      <c r="N31" s="37" t="s">
        <v>194</v>
      </c>
      <c r="O31" s="33" t="s">
        <v>56</v>
      </c>
      <c r="P31" s="37" t="s">
        <v>195</v>
      </c>
      <c r="Q31" s="38">
        <v>694921.0</v>
      </c>
      <c r="R31" s="38">
        <f t="shared" si="3"/>
        <v>28</v>
      </c>
      <c r="S31" s="87" t="s">
        <v>203</v>
      </c>
      <c r="T31" s="65">
        <v>45565.0</v>
      </c>
      <c r="U31" s="21"/>
      <c r="V31" s="80">
        <f t="shared" si="1"/>
        <v>62.03561644</v>
      </c>
      <c r="W31" s="81">
        <f t="shared" si="2"/>
        <v>63.82465753</v>
      </c>
      <c r="X31" s="21"/>
      <c r="Y31" s="21"/>
      <c r="Z31" s="21"/>
      <c r="AA31" s="21"/>
    </row>
    <row r="32" ht="33.75" customHeight="1">
      <c r="A32" s="38" t="s">
        <v>25</v>
      </c>
      <c r="B32" s="52" t="s">
        <v>196</v>
      </c>
      <c r="C32" s="52" t="s">
        <v>53</v>
      </c>
      <c r="D32" s="53" t="s">
        <v>54</v>
      </c>
      <c r="E32" s="53" t="s">
        <v>96</v>
      </c>
      <c r="F32" s="53" t="s">
        <v>97</v>
      </c>
      <c r="G32" s="53" t="s">
        <v>98</v>
      </c>
      <c r="H32" s="53" t="s">
        <v>30</v>
      </c>
      <c r="I32" s="53" t="s">
        <v>111</v>
      </c>
      <c r="J32" s="53" t="s">
        <v>40</v>
      </c>
      <c r="K32" s="53" t="s">
        <v>42</v>
      </c>
      <c r="L32" s="70">
        <v>18272.0</v>
      </c>
      <c r="M32" s="71" t="s">
        <v>197</v>
      </c>
      <c r="N32" s="47" t="s">
        <v>198</v>
      </c>
      <c r="O32" s="53" t="s">
        <v>56</v>
      </c>
      <c r="P32" s="47" t="s">
        <v>199</v>
      </c>
      <c r="Q32" s="38">
        <v>702392.0</v>
      </c>
      <c r="R32" s="38">
        <f t="shared" si="3"/>
        <v>29</v>
      </c>
      <c r="S32" s="83"/>
      <c r="T32" s="65">
        <v>45565.0</v>
      </c>
      <c r="U32" s="21"/>
      <c r="V32" s="80">
        <f t="shared" si="1"/>
        <v>74.77534247</v>
      </c>
      <c r="W32" s="81">
        <f t="shared" si="2"/>
        <v>76.56438356</v>
      </c>
      <c r="X32" s="21"/>
      <c r="Y32" s="21"/>
      <c r="Z32" s="21"/>
      <c r="AA32" s="21"/>
    </row>
    <row r="33" ht="33.75" customHeight="1">
      <c r="A33" s="38" t="s">
        <v>25</v>
      </c>
      <c r="B33" s="52" t="s">
        <v>95</v>
      </c>
      <c r="C33" s="52" t="s">
        <v>53</v>
      </c>
      <c r="D33" s="42" t="s">
        <v>76</v>
      </c>
      <c r="E33" s="53" t="s">
        <v>96</v>
      </c>
      <c r="F33" s="53" t="s">
        <v>97</v>
      </c>
      <c r="G33" s="53" t="s">
        <v>98</v>
      </c>
      <c r="H33" s="53" t="s">
        <v>30</v>
      </c>
      <c r="I33" s="53" t="s">
        <v>99</v>
      </c>
      <c r="J33" s="51" t="s">
        <v>100</v>
      </c>
      <c r="K33" s="53" t="s">
        <v>42</v>
      </c>
      <c r="L33" s="45">
        <v>30033.0</v>
      </c>
      <c r="M33" s="36" t="s">
        <v>101</v>
      </c>
      <c r="N33" s="37" t="s">
        <v>50</v>
      </c>
      <c r="O33" s="42" t="s">
        <v>35</v>
      </c>
      <c r="P33" s="47" t="s">
        <v>102</v>
      </c>
      <c r="Q33" s="38">
        <v>701739.0</v>
      </c>
      <c r="R33" s="38">
        <f t="shared" si="3"/>
        <v>30</v>
      </c>
      <c r="S33" s="47" t="s">
        <v>102</v>
      </c>
      <c r="T33" s="65">
        <v>45565.0</v>
      </c>
      <c r="U33" s="21"/>
      <c r="V33" s="80">
        <f t="shared" si="1"/>
        <v>42.55342466</v>
      </c>
      <c r="W33" s="81">
        <f t="shared" si="2"/>
        <v>44.34246575</v>
      </c>
      <c r="X33" s="21"/>
      <c r="Y33" s="21"/>
      <c r="Z33" s="21"/>
      <c r="AA33" s="21"/>
    </row>
    <row r="34" ht="33.75" customHeight="1">
      <c r="A34" s="38" t="s">
        <v>25</v>
      </c>
      <c r="B34" s="52" t="s">
        <v>103</v>
      </c>
      <c r="C34" s="52" t="s">
        <v>53</v>
      </c>
      <c r="D34" s="33" t="s">
        <v>54</v>
      </c>
      <c r="E34" s="53" t="s">
        <v>96</v>
      </c>
      <c r="F34" s="53" t="s">
        <v>97</v>
      </c>
      <c r="G34" s="53" t="s">
        <v>98</v>
      </c>
      <c r="H34" s="53" t="s">
        <v>30</v>
      </c>
      <c r="I34" s="53" t="s">
        <v>104</v>
      </c>
      <c r="J34" s="51" t="s">
        <v>105</v>
      </c>
      <c r="K34" s="53" t="s">
        <v>42</v>
      </c>
      <c r="L34" s="45">
        <v>13473.0</v>
      </c>
      <c r="M34" s="36" t="s">
        <v>106</v>
      </c>
      <c r="N34" s="47" t="s">
        <v>107</v>
      </c>
      <c r="O34" s="53" t="s">
        <v>56</v>
      </c>
      <c r="P34" s="47" t="s">
        <v>108</v>
      </c>
      <c r="Q34" s="38">
        <v>625051.0</v>
      </c>
      <c r="R34" s="38">
        <f t="shared" si="3"/>
        <v>31</v>
      </c>
      <c r="S34" s="83"/>
      <c r="T34" s="84">
        <v>45565.0</v>
      </c>
      <c r="U34" s="21"/>
      <c r="V34" s="80">
        <f t="shared" si="1"/>
        <v>87.92328767</v>
      </c>
      <c r="W34" s="81">
        <f t="shared" si="2"/>
        <v>89.71232877</v>
      </c>
      <c r="X34" s="21"/>
      <c r="Y34" s="21"/>
      <c r="Z34" s="21"/>
      <c r="AA34" s="21"/>
    </row>
    <row r="35" ht="33.75" customHeight="1">
      <c r="A35" s="38" t="s">
        <v>25</v>
      </c>
      <c r="B35" s="52" t="s">
        <v>109</v>
      </c>
      <c r="C35" s="38" t="s">
        <v>47</v>
      </c>
      <c r="D35" s="42" t="s">
        <v>110</v>
      </c>
      <c r="E35" s="42" t="s">
        <v>96</v>
      </c>
      <c r="F35" s="42" t="s">
        <v>97</v>
      </c>
      <c r="G35" s="42" t="s">
        <v>98</v>
      </c>
      <c r="H35" s="42" t="s">
        <v>30</v>
      </c>
      <c r="I35" s="42" t="s">
        <v>111</v>
      </c>
      <c r="J35" s="54" t="s">
        <v>40</v>
      </c>
      <c r="K35" s="42" t="s">
        <v>42</v>
      </c>
      <c r="L35" s="55">
        <v>20090.0</v>
      </c>
      <c r="M35" s="36" t="s">
        <v>101</v>
      </c>
      <c r="N35" s="48" t="s">
        <v>112</v>
      </c>
      <c r="O35" s="42" t="s">
        <v>56</v>
      </c>
      <c r="P35" s="48" t="s">
        <v>113</v>
      </c>
      <c r="Q35" s="56"/>
      <c r="R35" s="38">
        <f t="shared" si="3"/>
        <v>32</v>
      </c>
      <c r="S35" s="88"/>
      <c r="T35" s="84">
        <v>45565.0</v>
      </c>
      <c r="U35" s="21"/>
      <c r="V35" s="80">
        <f t="shared" si="1"/>
        <v>69.79452055</v>
      </c>
      <c r="W35" s="81">
        <f t="shared" si="2"/>
        <v>71.58356164</v>
      </c>
      <c r="X35" s="21"/>
      <c r="Y35" s="21"/>
      <c r="Z35" s="21"/>
      <c r="AA35" s="21"/>
    </row>
    <row r="36">
      <c r="A36" s="1"/>
      <c r="B36" s="1"/>
      <c r="C36" s="1"/>
      <c r="D36" s="1"/>
      <c r="E36" s="1"/>
      <c r="F36" s="1"/>
      <c r="G36" s="1"/>
      <c r="H36" s="1"/>
      <c r="I36" s="1"/>
      <c r="J36" s="72"/>
      <c r="K36" s="1"/>
      <c r="L36" s="2"/>
      <c r="M36" s="86"/>
      <c r="N36" s="1"/>
      <c r="O36" s="1"/>
      <c r="P36" s="73"/>
      <c r="Q36" s="1"/>
      <c r="R36" s="1"/>
      <c r="S36" s="1"/>
      <c r="T36" s="2"/>
      <c r="U36" s="1"/>
      <c r="V36" s="1"/>
      <c r="W36" s="1"/>
      <c r="X36" s="1"/>
      <c r="Y36" s="1"/>
      <c r="Z36" s="1"/>
      <c r="AA36" s="1"/>
    </row>
    <row r="37">
      <c r="A37" s="1"/>
      <c r="B37" s="1"/>
      <c r="C37" s="1"/>
      <c r="D37" s="1"/>
      <c r="E37" s="1"/>
      <c r="F37" s="1"/>
      <c r="G37" s="1"/>
      <c r="H37" s="1"/>
      <c r="I37" s="1"/>
      <c r="J37" s="72"/>
      <c r="K37" s="1"/>
      <c r="L37" s="2"/>
      <c r="M37" s="86"/>
      <c r="N37" s="1"/>
      <c r="O37" s="1"/>
      <c r="P37" s="73"/>
      <c r="Q37" s="1"/>
      <c r="R37" s="1"/>
      <c r="S37" s="1"/>
      <c r="T37" s="2"/>
      <c r="U37" s="1"/>
      <c r="V37" s="1"/>
      <c r="W37" s="1"/>
      <c r="X37" s="1"/>
      <c r="Y37" s="1"/>
      <c r="Z37" s="1"/>
      <c r="AA37" s="1"/>
    </row>
    <row r="38">
      <c r="A38" s="1"/>
      <c r="B38" s="1"/>
      <c r="C38" s="1"/>
      <c r="D38" s="9"/>
      <c r="E38" s="25"/>
      <c r="F38" s="25"/>
      <c r="G38" s="25"/>
      <c r="H38" s="1"/>
      <c r="I38" s="74" t="s">
        <v>200</v>
      </c>
      <c r="L38" s="2"/>
      <c r="M38" s="86"/>
      <c r="N38" s="9"/>
      <c r="O38" s="25"/>
      <c r="P38" s="75" t="s">
        <v>201</v>
      </c>
      <c r="S38" s="1"/>
      <c r="T38" s="2"/>
      <c r="U38" s="1"/>
      <c r="V38" s="1"/>
      <c r="W38" s="1"/>
      <c r="X38" s="1"/>
      <c r="Y38" s="1"/>
      <c r="Z38" s="1"/>
      <c r="AA38" s="1"/>
    </row>
    <row r="39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2"/>
      <c r="M39" s="86"/>
      <c r="N39" s="1"/>
      <c r="O39" s="1"/>
      <c r="P39" s="73"/>
      <c r="Q39" s="1"/>
      <c r="R39" s="1"/>
      <c r="S39" s="1"/>
      <c r="T39" s="2"/>
      <c r="U39" s="1"/>
      <c r="V39" s="1"/>
      <c r="W39" s="1"/>
      <c r="X39" s="1"/>
      <c r="Y39" s="1"/>
      <c r="Z39" s="1"/>
      <c r="AA39" s="1"/>
    </row>
    <row r="40">
      <c r="A40" s="1"/>
      <c r="B40" s="1"/>
      <c r="C40" s="1"/>
      <c r="D40" s="1"/>
      <c r="E40" s="1"/>
      <c r="F40" s="1"/>
      <c r="G40" s="1"/>
      <c r="H40" s="1"/>
      <c r="I40" s="1"/>
      <c r="J40" s="72"/>
      <c r="K40" s="1"/>
      <c r="L40" s="2"/>
      <c r="M40" s="89"/>
      <c r="N40" s="76">
        <v>44865.0</v>
      </c>
      <c r="O40" s="25"/>
      <c r="P40" s="77" t="s">
        <v>202</v>
      </c>
      <c r="S40" s="1"/>
      <c r="T40" s="2"/>
      <c r="U40" s="1"/>
      <c r="V40" s="1"/>
      <c r="W40" s="1"/>
      <c r="X40" s="1"/>
      <c r="Y40" s="1"/>
      <c r="Z40" s="1"/>
      <c r="AA40" s="1"/>
    </row>
    <row r="4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73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</row>
    <row r="42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73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</row>
    <row r="43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73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</row>
    <row r="44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73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</row>
    <row r="4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73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</row>
    <row r="46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73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</row>
    <row r="47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73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</row>
    <row r="48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73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</row>
    <row r="49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73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</row>
    <row r="50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73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</row>
    <row r="5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73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</row>
    <row r="52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73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</row>
    <row r="53">
      <c r="P53" s="90"/>
    </row>
    <row r="54">
      <c r="P54" s="90"/>
    </row>
    <row r="55">
      <c r="P55" s="90"/>
    </row>
    <row r="56">
      <c r="P56" s="90"/>
    </row>
    <row r="57">
      <c r="P57" s="90"/>
    </row>
    <row r="58">
      <c r="P58" s="90"/>
    </row>
    <row r="59">
      <c r="P59" s="90"/>
    </row>
    <row r="60">
      <c r="P60" s="90"/>
    </row>
    <row r="61">
      <c r="P61" s="90"/>
    </row>
    <row r="62">
      <c r="P62" s="90"/>
    </row>
    <row r="63">
      <c r="P63" s="90"/>
    </row>
    <row r="64">
      <c r="P64" s="90"/>
    </row>
    <row r="65">
      <c r="P65" s="90"/>
    </row>
    <row r="66">
      <c r="P66" s="90"/>
    </row>
    <row r="67">
      <c r="P67" s="90"/>
    </row>
    <row r="68">
      <c r="P68" s="90"/>
    </row>
    <row r="69">
      <c r="P69" s="90"/>
    </row>
    <row r="70">
      <c r="P70" s="90"/>
    </row>
    <row r="71">
      <c r="P71" s="90"/>
    </row>
    <row r="72">
      <c r="P72" s="90"/>
    </row>
    <row r="73">
      <c r="P73" s="90"/>
    </row>
    <row r="74">
      <c r="P74" s="90"/>
    </row>
    <row r="75">
      <c r="P75" s="90"/>
    </row>
    <row r="76">
      <c r="P76" s="90"/>
    </row>
    <row r="77">
      <c r="P77" s="90"/>
    </row>
    <row r="78">
      <c r="P78" s="90"/>
    </row>
    <row r="79">
      <c r="P79" s="90"/>
    </row>
    <row r="80">
      <c r="P80" s="90"/>
    </row>
    <row r="81">
      <c r="P81" s="90"/>
    </row>
    <row r="82">
      <c r="P82" s="90"/>
    </row>
    <row r="83">
      <c r="P83" s="90"/>
    </row>
    <row r="84">
      <c r="P84" s="90"/>
    </row>
    <row r="85">
      <c r="P85" s="90"/>
    </row>
    <row r="86">
      <c r="P86" s="90"/>
    </row>
    <row r="87">
      <c r="P87" s="90"/>
    </row>
    <row r="88">
      <c r="P88" s="90"/>
    </row>
    <row r="89">
      <c r="P89" s="90"/>
    </row>
    <row r="90">
      <c r="P90" s="90"/>
    </row>
    <row r="91">
      <c r="P91" s="90"/>
    </row>
    <row r="92">
      <c r="P92" s="90"/>
    </row>
    <row r="93">
      <c r="P93" s="90"/>
    </row>
    <row r="94">
      <c r="P94" s="90"/>
    </row>
    <row r="95">
      <c r="P95" s="90"/>
    </row>
    <row r="96">
      <c r="P96" s="90"/>
    </row>
    <row r="97">
      <c r="P97" s="90"/>
    </row>
    <row r="98">
      <c r="P98" s="90"/>
    </row>
    <row r="99">
      <c r="P99" s="90"/>
    </row>
    <row r="100">
      <c r="P100" s="90"/>
    </row>
    <row r="101">
      <c r="P101" s="90"/>
    </row>
    <row r="102">
      <c r="P102" s="90"/>
    </row>
    <row r="103">
      <c r="P103" s="90"/>
    </row>
    <row r="104">
      <c r="P104" s="90"/>
    </row>
    <row r="105">
      <c r="P105" s="90"/>
    </row>
    <row r="106">
      <c r="P106" s="90"/>
    </row>
    <row r="107">
      <c r="P107" s="90"/>
    </row>
    <row r="108">
      <c r="P108" s="90"/>
    </row>
    <row r="109">
      <c r="P109" s="90"/>
    </row>
    <row r="110">
      <c r="P110" s="90"/>
    </row>
    <row r="111">
      <c r="P111" s="90"/>
    </row>
    <row r="112">
      <c r="P112" s="90"/>
    </row>
    <row r="113">
      <c r="P113" s="90"/>
    </row>
    <row r="114">
      <c r="P114" s="90"/>
    </row>
    <row r="115">
      <c r="P115" s="90"/>
    </row>
    <row r="116">
      <c r="P116" s="90"/>
    </row>
    <row r="117">
      <c r="P117" s="90"/>
    </row>
    <row r="118">
      <c r="P118" s="90"/>
    </row>
    <row r="119">
      <c r="P119" s="90"/>
    </row>
    <row r="120">
      <c r="P120" s="90"/>
    </row>
    <row r="121">
      <c r="P121" s="90"/>
    </row>
    <row r="122">
      <c r="P122" s="90"/>
    </row>
    <row r="123">
      <c r="P123" s="90"/>
    </row>
    <row r="124">
      <c r="P124" s="90"/>
    </row>
    <row r="125">
      <c r="P125" s="90"/>
    </row>
    <row r="126">
      <c r="P126" s="90"/>
    </row>
    <row r="127">
      <c r="P127" s="90"/>
    </row>
    <row r="128">
      <c r="P128" s="90"/>
    </row>
    <row r="129">
      <c r="P129" s="90"/>
    </row>
    <row r="130">
      <c r="P130" s="90"/>
    </row>
    <row r="131">
      <c r="P131" s="90"/>
    </row>
    <row r="132">
      <c r="P132" s="90"/>
    </row>
    <row r="133">
      <c r="P133" s="90"/>
    </row>
    <row r="134">
      <c r="P134" s="90"/>
    </row>
    <row r="135">
      <c r="P135" s="90"/>
    </row>
    <row r="136">
      <c r="P136" s="90"/>
    </row>
    <row r="137">
      <c r="P137" s="90"/>
    </row>
    <row r="138">
      <c r="P138" s="90"/>
    </row>
    <row r="139">
      <c r="P139" s="90"/>
    </row>
    <row r="140">
      <c r="P140" s="90"/>
    </row>
    <row r="141">
      <c r="P141" s="90"/>
    </row>
    <row r="142">
      <c r="P142" s="90"/>
    </row>
    <row r="143">
      <c r="P143" s="90"/>
    </row>
    <row r="144">
      <c r="P144" s="90"/>
    </row>
    <row r="145">
      <c r="P145" s="90"/>
    </row>
    <row r="146">
      <c r="P146" s="90"/>
    </row>
    <row r="147">
      <c r="P147" s="90"/>
    </row>
    <row r="148">
      <c r="P148" s="90"/>
    </row>
    <row r="149">
      <c r="P149" s="90"/>
    </row>
    <row r="150">
      <c r="P150" s="90"/>
    </row>
    <row r="151">
      <c r="P151" s="90"/>
    </row>
    <row r="152">
      <c r="P152" s="90"/>
    </row>
    <row r="153">
      <c r="P153" s="90"/>
    </row>
    <row r="154">
      <c r="P154" s="90"/>
    </row>
    <row r="155">
      <c r="P155" s="90"/>
    </row>
    <row r="156">
      <c r="P156" s="90"/>
    </row>
    <row r="157">
      <c r="P157" s="90"/>
    </row>
    <row r="158">
      <c r="P158" s="90"/>
    </row>
    <row r="159">
      <c r="P159" s="90"/>
    </row>
    <row r="160">
      <c r="P160" s="90"/>
    </row>
    <row r="161">
      <c r="P161" s="90"/>
    </row>
    <row r="162">
      <c r="P162" s="90"/>
    </row>
    <row r="163">
      <c r="P163" s="90"/>
    </row>
    <row r="164">
      <c r="P164" s="90"/>
    </row>
    <row r="165">
      <c r="P165" s="90"/>
    </row>
    <row r="166">
      <c r="P166" s="90"/>
    </row>
    <row r="167">
      <c r="P167" s="90"/>
    </row>
    <row r="168">
      <c r="P168" s="90"/>
    </row>
    <row r="169">
      <c r="P169" s="90"/>
    </row>
    <row r="170">
      <c r="P170" s="90"/>
    </row>
    <row r="171">
      <c r="P171" s="90"/>
    </row>
    <row r="172">
      <c r="P172" s="90"/>
    </row>
    <row r="173">
      <c r="P173" s="90"/>
    </row>
    <row r="174">
      <c r="P174" s="90"/>
    </row>
    <row r="175">
      <c r="P175" s="90"/>
    </row>
    <row r="176">
      <c r="P176" s="90"/>
    </row>
    <row r="177">
      <c r="P177" s="90"/>
    </row>
    <row r="178">
      <c r="P178" s="90"/>
    </row>
    <row r="179">
      <c r="P179" s="90"/>
    </row>
    <row r="180">
      <c r="P180" s="90"/>
    </row>
    <row r="181">
      <c r="P181" s="90"/>
    </row>
    <row r="182">
      <c r="P182" s="90"/>
    </row>
    <row r="183">
      <c r="P183" s="90"/>
    </row>
    <row r="184">
      <c r="P184" s="90"/>
    </row>
    <row r="185">
      <c r="P185" s="90"/>
    </row>
    <row r="186">
      <c r="P186" s="90"/>
    </row>
    <row r="187">
      <c r="P187" s="90"/>
    </row>
    <row r="188">
      <c r="P188" s="90"/>
    </row>
    <row r="189">
      <c r="P189" s="90"/>
    </row>
    <row r="190">
      <c r="P190" s="90"/>
    </row>
    <row r="191">
      <c r="P191" s="90"/>
    </row>
    <row r="192">
      <c r="P192" s="90"/>
    </row>
    <row r="193">
      <c r="P193" s="90"/>
    </row>
    <row r="194">
      <c r="P194" s="90"/>
    </row>
    <row r="195">
      <c r="P195" s="90"/>
    </row>
    <row r="196">
      <c r="P196" s="90"/>
    </row>
    <row r="197">
      <c r="P197" s="90"/>
    </row>
    <row r="198">
      <c r="P198" s="90"/>
    </row>
    <row r="199">
      <c r="P199" s="90"/>
    </row>
    <row r="200">
      <c r="P200" s="90"/>
    </row>
    <row r="201">
      <c r="P201" s="90"/>
    </row>
    <row r="202">
      <c r="P202" s="90"/>
    </row>
    <row r="203">
      <c r="P203" s="90"/>
    </row>
    <row r="204">
      <c r="P204" s="90"/>
    </row>
    <row r="205">
      <c r="P205" s="90"/>
    </row>
    <row r="206">
      <c r="P206" s="90"/>
    </row>
    <row r="207">
      <c r="P207" s="90"/>
    </row>
    <row r="208">
      <c r="P208" s="90"/>
    </row>
    <row r="209">
      <c r="P209" s="90"/>
    </row>
    <row r="210">
      <c r="P210" s="90"/>
    </row>
    <row r="211">
      <c r="P211" s="90"/>
    </row>
    <row r="212">
      <c r="P212" s="90"/>
    </row>
    <row r="213">
      <c r="P213" s="90"/>
    </row>
    <row r="214">
      <c r="P214" s="90"/>
    </row>
    <row r="215">
      <c r="P215" s="90"/>
    </row>
    <row r="216">
      <c r="P216" s="90"/>
    </row>
    <row r="217">
      <c r="P217" s="90"/>
    </row>
    <row r="218">
      <c r="P218" s="90"/>
    </row>
    <row r="219">
      <c r="P219" s="90"/>
    </row>
    <row r="220">
      <c r="P220" s="90"/>
    </row>
    <row r="221">
      <c r="P221" s="90"/>
    </row>
    <row r="222">
      <c r="P222" s="90"/>
    </row>
    <row r="223">
      <c r="P223" s="90"/>
    </row>
    <row r="224">
      <c r="P224" s="90"/>
    </row>
    <row r="225">
      <c r="P225" s="90"/>
    </row>
    <row r="226">
      <c r="P226" s="90"/>
    </row>
    <row r="227">
      <c r="P227" s="90"/>
    </row>
    <row r="228">
      <c r="P228" s="90"/>
    </row>
    <row r="229">
      <c r="P229" s="90"/>
    </row>
    <row r="230">
      <c r="P230" s="90"/>
    </row>
    <row r="231">
      <c r="P231" s="90"/>
    </row>
    <row r="232">
      <c r="P232" s="90"/>
    </row>
    <row r="233">
      <c r="P233" s="90"/>
    </row>
    <row r="234">
      <c r="P234" s="90"/>
    </row>
    <row r="235">
      <c r="P235" s="90"/>
    </row>
    <row r="236">
      <c r="P236" s="90"/>
    </row>
    <row r="237">
      <c r="P237" s="90"/>
    </row>
    <row r="238">
      <c r="P238" s="90"/>
    </row>
    <row r="239">
      <c r="P239" s="90"/>
    </row>
    <row r="240">
      <c r="P240" s="90"/>
    </row>
    <row r="241">
      <c r="P241" s="90"/>
    </row>
    <row r="242">
      <c r="P242" s="90"/>
    </row>
    <row r="243">
      <c r="P243" s="90"/>
    </row>
    <row r="244">
      <c r="P244" s="90"/>
    </row>
    <row r="245">
      <c r="P245" s="90"/>
    </row>
    <row r="246">
      <c r="P246" s="90"/>
    </row>
    <row r="247">
      <c r="P247" s="90"/>
    </row>
    <row r="248">
      <c r="P248" s="90"/>
    </row>
    <row r="249">
      <c r="P249" s="90"/>
    </row>
    <row r="250">
      <c r="P250" s="90"/>
    </row>
    <row r="251">
      <c r="P251" s="90"/>
    </row>
    <row r="252">
      <c r="P252" s="90"/>
    </row>
    <row r="253">
      <c r="P253" s="90"/>
    </row>
    <row r="254">
      <c r="P254" s="90"/>
    </row>
    <row r="255">
      <c r="P255" s="90"/>
    </row>
    <row r="256">
      <c r="P256" s="90"/>
    </row>
    <row r="257">
      <c r="P257" s="90"/>
    </row>
    <row r="258">
      <c r="P258" s="90"/>
    </row>
    <row r="259">
      <c r="P259" s="90"/>
    </row>
    <row r="260">
      <c r="P260" s="90"/>
    </row>
    <row r="261">
      <c r="P261" s="90"/>
    </row>
    <row r="262">
      <c r="P262" s="90"/>
    </row>
    <row r="263">
      <c r="P263" s="90"/>
    </row>
    <row r="264">
      <c r="P264" s="90"/>
    </row>
    <row r="265">
      <c r="P265" s="90"/>
    </row>
    <row r="266">
      <c r="P266" s="90"/>
    </row>
    <row r="267">
      <c r="P267" s="90"/>
    </row>
    <row r="268">
      <c r="P268" s="90"/>
    </row>
    <row r="269">
      <c r="P269" s="90"/>
    </row>
    <row r="270">
      <c r="P270" s="90"/>
    </row>
    <row r="271">
      <c r="P271" s="90"/>
    </row>
    <row r="272">
      <c r="P272" s="90"/>
    </row>
    <row r="273">
      <c r="P273" s="90"/>
    </row>
    <row r="274">
      <c r="P274" s="90"/>
    </row>
    <row r="275">
      <c r="P275" s="90"/>
    </row>
    <row r="276">
      <c r="P276" s="90"/>
    </row>
    <row r="277">
      <c r="P277" s="90"/>
    </row>
    <row r="278">
      <c r="P278" s="90"/>
    </row>
    <row r="279">
      <c r="P279" s="90"/>
    </row>
    <row r="280">
      <c r="P280" s="90"/>
    </row>
    <row r="281">
      <c r="P281" s="90"/>
    </row>
    <row r="282">
      <c r="P282" s="90"/>
    </row>
    <row r="283">
      <c r="P283" s="90"/>
    </row>
    <row r="284">
      <c r="P284" s="90"/>
    </row>
    <row r="285">
      <c r="P285" s="90"/>
    </row>
    <row r="286">
      <c r="P286" s="90"/>
    </row>
    <row r="287">
      <c r="P287" s="90"/>
    </row>
    <row r="288">
      <c r="P288" s="90"/>
    </row>
    <row r="289">
      <c r="P289" s="90"/>
    </row>
    <row r="290">
      <c r="P290" s="90"/>
    </row>
    <row r="291">
      <c r="P291" s="90"/>
    </row>
    <row r="292">
      <c r="P292" s="90"/>
    </row>
    <row r="293">
      <c r="P293" s="90"/>
    </row>
    <row r="294">
      <c r="P294" s="90"/>
    </row>
    <row r="295">
      <c r="P295" s="90"/>
    </row>
    <row r="296">
      <c r="P296" s="90"/>
    </row>
    <row r="297">
      <c r="P297" s="90"/>
    </row>
    <row r="298">
      <c r="P298" s="90"/>
    </row>
    <row r="299">
      <c r="P299" s="90"/>
    </row>
    <row r="300">
      <c r="P300" s="90"/>
    </row>
    <row r="301">
      <c r="P301" s="90"/>
    </row>
    <row r="302">
      <c r="P302" s="90"/>
    </row>
    <row r="303">
      <c r="P303" s="90"/>
    </row>
    <row r="304">
      <c r="P304" s="90"/>
    </row>
    <row r="305">
      <c r="P305" s="90"/>
    </row>
    <row r="306">
      <c r="P306" s="90"/>
    </row>
    <row r="307">
      <c r="P307" s="90"/>
    </row>
    <row r="308">
      <c r="P308" s="90"/>
    </row>
    <row r="309">
      <c r="P309" s="90"/>
    </row>
    <row r="310">
      <c r="P310" s="90"/>
    </row>
    <row r="311">
      <c r="P311" s="90"/>
    </row>
    <row r="312">
      <c r="P312" s="90"/>
    </row>
    <row r="313">
      <c r="P313" s="90"/>
    </row>
    <row r="314">
      <c r="P314" s="90"/>
    </row>
    <row r="315">
      <c r="P315" s="90"/>
    </row>
    <row r="316">
      <c r="P316" s="90"/>
    </row>
    <row r="317">
      <c r="P317" s="90"/>
    </row>
    <row r="318">
      <c r="P318" s="90"/>
    </row>
    <row r="319">
      <c r="P319" s="90"/>
    </row>
    <row r="320">
      <c r="P320" s="90"/>
    </row>
    <row r="321">
      <c r="P321" s="90"/>
    </row>
    <row r="322">
      <c r="P322" s="90"/>
    </row>
    <row r="323">
      <c r="P323" s="90"/>
    </row>
    <row r="324">
      <c r="P324" s="90"/>
    </row>
    <row r="325">
      <c r="P325" s="90"/>
    </row>
    <row r="326">
      <c r="P326" s="90"/>
    </row>
    <row r="327">
      <c r="P327" s="90"/>
    </row>
    <row r="328">
      <c r="P328" s="90"/>
    </row>
    <row r="329">
      <c r="P329" s="90"/>
    </row>
    <row r="330">
      <c r="P330" s="90"/>
    </row>
    <row r="331">
      <c r="P331" s="90"/>
    </row>
    <row r="332">
      <c r="P332" s="90"/>
    </row>
    <row r="333">
      <c r="P333" s="90"/>
    </row>
    <row r="334">
      <c r="P334" s="90"/>
    </row>
    <row r="335">
      <c r="P335" s="90"/>
    </row>
    <row r="336">
      <c r="P336" s="90"/>
    </row>
    <row r="337">
      <c r="P337" s="90"/>
    </row>
    <row r="338">
      <c r="P338" s="90"/>
    </row>
    <row r="339">
      <c r="P339" s="90"/>
    </row>
    <row r="340">
      <c r="P340" s="90"/>
    </row>
    <row r="341">
      <c r="P341" s="90"/>
    </row>
    <row r="342">
      <c r="P342" s="90"/>
    </row>
    <row r="343">
      <c r="P343" s="90"/>
    </row>
    <row r="344">
      <c r="P344" s="90"/>
    </row>
    <row r="345">
      <c r="P345" s="90"/>
    </row>
    <row r="346">
      <c r="P346" s="90"/>
    </row>
    <row r="347">
      <c r="P347" s="90"/>
    </row>
    <row r="348">
      <c r="P348" s="90"/>
    </row>
    <row r="349">
      <c r="P349" s="90"/>
    </row>
    <row r="350">
      <c r="P350" s="90"/>
    </row>
    <row r="351">
      <c r="P351" s="90"/>
    </row>
    <row r="352">
      <c r="P352" s="90"/>
    </row>
    <row r="353">
      <c r="P353" s="90"/>
    </row>
    <row r="354">
      <c r="P354" s="90"/>
    </row>
    <row r="355">
      <c r="P355" s="90"/>
    </row>
    <row r="356">
      <c r="P356" s="90"/>
    </row>
    <row r="357">
      <c r="P357" s="90"/>
    </row>
    <row r="358">
      <c r="P358" s="90"/>
    </row>
    <row r="359">
      <c r="P359" s="90"/>
    </row>
    <row r="360">
      <c r="P360" s="90"/>
    </row>
    <row r="361">
      <c r="P361" s="90"/>
    </row>
    <row r="362">
      <c r="P362" s="90"/>
    </row>
    <row r="363">
      <c r="P363" s="90"/>
    </row>
    <row r="364">
      <c r="P364" s="90"/>
    </row>
    <row r="365">
      <c r="P365" s="90"/>
    </row>
    <row r="366">
      <c r="P366" s="90"/>
    </row>
    <row r="367">
      <c r="P367" s="90"/>
    </row>
    <row r="368">
      <c r="P368" s="90"/>
    </row>
    <row r="369">
      <c r="P369" s="90"/>
    </row>
    <row r="370">
      <c r="P370" s="90"/>
    </row>
    <row r="371">
      <c r="P371" s="90"/>
    </row>
    <row r="372">
      <c r="P372" s="90"/>
    </row>
    <row r="373">
      <c r="P373" s="90"/>
    </row>
    <row r="374">
      <c r="P374" s="90"/>
    </row>
    <row r="375">
      <c r="P375" s="90"/>
    </row>
    <row r="376">
      <c r="P376" s="90"/>
    </row>
    <row r="377">
      <c r="P377" s="90"/>
    </row>
    <row r="378">
      <c r="P378" s="90"/>
    </row>
    <row r="379">
      <c r="P379" s="90"/>
    </row>
    <row r="380">
      <c r="P380" s="90"/>
    </row>
    <row r="381">
      <c r="P381" s="90"/>
    </row>
    <row r="382">
      <c r="P382" s="90"/>
    </row>
    <row r="383">
      <c r="P383" s="90"/>
    </row>
    <row r="384">
      <c r="P384" s="90"/>
    </row>
    <row r="385">
      <c r="P385" s="90"/>
    </row>
    <row r="386">
      <c r="P386" s="90"/>
    </row>
    <row r="387">
      <c r="P387" s="90"/>
    </row>
    <row r="388">
      <c r="P388" s="90"/>
    </row>
    <row r="389">
      <c r="P389" s="90"/>
    </row>
    <row r="390">
      <c r="P390" s="90"/>
    </row>
    <row r="391">
      <c r="P391" s="90"/>
    </row>
    <row r="392">
      <c r="P392" s="90"/>
    </row>
    <row r="393">
      <c r="P393" s="90"/>
    </row>
    <row r="394">
      <c r="P394" s="90"/>
    </row>
    <row r="395">
      <c r="P395" s="90"/>
    </row>
    <row r="396">
      <c r="P396" s="90"/>
    </row>
    <row r="397">
      <c r="P397" s="90"/>
    </row>
    <row r="398">
      <c r="P398" s="90"/>
    </row>
    <row r="399">
      <c r="P399" s="90"/>
    </row>
    <row r="400">
      <c r="P400" s="90"/>
    </row>
    <row r="401">
      <c r="P401" s="90"/>
    </row>
    <row r="402">
      <c r="P402" s="90"/>
    </row>
    <row r="403">
      <c r="P403" s="90"/>
    </row>
    <row r="404">
      <c r="P404" s="90"/>
    </row>
    <row r="405">
      <c r="P405" s="90"/>
    </row>
    <row r="406">
      <c r="P406" s="90"/>
    </row>
    <row r="407">
      <c r="P407" s="90"/>
    </row>
    <row r="408">
      <c r="P408" s="90"/>
    </row>
    <row r="409">
      <c r="P409" s="90"/>
    </row>
    <row r="410">
      <c r="P410" s="90"/>
    </row>
    <row r="411">
      <c r="P411" s="90"/>
    </row>
    <row r="412">
      <c r="P412" s="90"/>
    </row>
    <row r="413">
      <c r="P413" s="90"/>
    </row>
    <row r="414">
      <c r="P414" s="90"/>
    </row>
    <row r="415">
      <c r="P415" s="90"/>
    </row>
    <row r="416">
      <c r="P416" s="90"/>
    </row>
    <row r="417">
      <c r="P417" s="90"/>
    </row>
    <row r="418">
      <c r="P418" s="90"/>
    </row>
    <row r="419">
      <c r="P419" s="90"/>
    </row>
    <row r="420">
      <c r="P420" s="90"/>
    </row>
    <row r="421">
      <c r="P421" s="90"/>
    </row>
    <row r="422">
      <c r="P422" s="90"/>
    </row>
    <row r="423">
      <c r="P423" s="90"/>
    </row>
    <row r="424">
      <c r="P424" s="90"/>
    </row>
    <row r="425">
      <c r="P425" s="90"/>
    </row>
    <row r="426">
      <c r="P426" s="90"/>
    </row>
    <row r="427">
      <c r="P427" s="90"/>
    </row>
    <row r="428">
      <c r="P428" s="90"/>
    </row>
    <row r="429">
      <c r="P429" s="90"/>
    </row>
    <row r="430">
      <c r="P430" s="90"/>
    </row>
    <row r="431">
      <c r="P431" s="90"/>
    </row>
    <row r="432">
      <c r="P432" s="90"/>
    </row>
    <row r="433">
      <c r="P433" s="90"/>
    </row>
    <row r="434">
      <c r="P434" s="90"/>
    </row>
    <row r="435">
      <c r="P435" s="90"/>
    </row>
    <row r="436">
      <c r="P436" s="90"/>
    </row>
    <row r="437">
      <c r="P437" s="90"/>
    </row>
    <row r="438">
      <c r="P438" s="90"/>
    </row>
    <row r="439">
      <c r="P439" s="90"/>
    </row>
    <row r="440">
      <c r="P440" s="90"/>
    </row>
    <row r="441">
      <c r="P441" s="90"/>
    </row>
    <row r="442">
      <c r="P442" s="90"/>
    </row>
    <row r="443">
      <c r="P443" s="90"/>
    </row>
    <row r="444">
      <c r="P444" s="90"/>
    </row>
    <row r="445">
      <c r="P445" s="90"/>
    </row>
    <row r="446">
      <c r="P446" s="90"/>
    </row>
    <row r="447">
      <c r="P447" s="90"/>
    </row>
    <row r="448">
      <c r="P448" s="90"/>
    </row>
    <row r="449">
      <c r="P449" s="90"/>
    </row>
    <row r="450">
      <c r="P450" s="90"/>
    </row>
    <row r="451">
      <c r="P451" s="90"/>
    </row>
    <row r="452">
      <c r="P452" s="90"/>
    </row>
    <row r="453">
      <c r="P453" s="90"/>
    </row>
    <row r="454">
      <c r="P454" s="90"/>
    </row>
    <row r="455">
      <c r="P455" s="90"/>
    </row>
    <row r="456">
      <c r="P456" s="90"/>
    </row>
    <row r="457">
      <c r="P457" s="90"/>
    </row>
    <row r="458">
      <c r="P458" s="90"/>
    </row>
    <row r="459">
      <c r="P459" s="90"/>
    </row>
    <row r="460">
      <c r="P460" s="90"/>
    </row>
    <row r="461">
      <c r="P461" s="90"/>
    </row>
    <row r="462">
      <c r="P462" s="90"/>
    </row>
    <row r="463">
      <c r="P463" s="90"/>
    </row>
    <row r="464">
      <c r="P464" s="90"/>
    </row>
    <row r="465">
      <c r="P465" s="90"/>
    </row>
    <row r="466">
      <c r="P466" s="90"/>
    </row>
    <row r="467">
      <c r="P467" s="90"/>
    </row>
    <row r="468">
      <c r="P468" s="90"/>
    </row>
    <row r="469">
      <c r="P469" s="90"/>
    </row>
    <row r="470">
      <c r="P470" s="90"/>
    </row>
    <row r="471">
      <c r="P471" s="90"/>
    </row>
    <row r="472">
      <c r="P472" s="90"/>
    </row>
    <row r="473">
      <c r="P473" s="90"/>
    </row>
    <row r="474">
      <c r="P474" s="90"/>
    </row>
    <row r="475">
      <c r="P475" s="90"/>
    </row>
    <row r="476">
      <c r="P476" s="90"/>
    </row>
    <row r="477">
      <c r="P477" s="90"/>
    </row>
    <row r="478">
      <c r="P478" s="90"/>
    </row>
    <row r="479">
      <c r="P479" s="90"/>
    </row>
    <row r="480">
      <c r="P480" s="90"/>
    </row>
    <row r="481">
      <c r="P481" s="90"/>
    </row>
    <row r="482">
      <c r="P482" s="90"/>
    </row>
    <row r="483">
      <c r="P483" s="90"/>
    </row>
    <row r="484">
      <c r="P484" s="90"/>
    </row>
    <row r="485">
      <c r="P485" s="90"/>
    </row>
    <row r="486">
      <c r="P486" s="90"/>
    </row>
    <row r="487">
      <c r="P487" s="90"/>
    </row>
    <row r="488">
      <c r="P488" s="90"/>
    </row>
    <row r="489">
      <c r="P489" s="90"/>
    </row>
    <row r="490">
      <c r="P490" s="90"/>
    </row>
    <row r="491">
      <c r="P491" s="90"/>
    </row>
    <row r="492">
      <c r="P492" s="90"/>
    </row>
    <row r="493">
      <c r="P493" s="90"/>
    </row>
    <row r="494">
      <c r="P494" s="90"/>
    </row>
    <row r="495">
      <c r="P495" s="90"/>
    </row>
    <row r="496">
      <c r="P496" s="90"/>
    </row>
    <row r="497">
      <c r="P497" s="90"/>
    </row>
    <row r="498">
      <c r="P498" s="90"/>
    </row>
    <row r="499">
      <c r="P499" s="90"/>
    </row>
    <row r="500">
      <c r="P500" s="90"/>
    </row>
    <row r="501">
      <c r="P501" s="90"/>
    </row>
    <row r="502">
      <c r="P502" s="90"/>
    </row>
    <row r="503">
      <c r="P503" s="90"/>
    </row>
    <row r="504">
      <c r="P504" s="90"/>
    </row>
    <row r="505">
      <c r="P505" s="90"/>
    </row>
    <row r="506">
      <c r="P506" s="90"/>
    </row>
    <row r="507">
      <c r="P507" s="90"/>
    </row>
    <row r="508">
      <c r="P508" s="90"/>
    </row>
    <row r="509">
      <c r="P509" s="90"/>
    </row>
    <row r="510">
      <c r="P510" s="90"/>
    </row>
    <row r="511">
      <c r="P511" s="90"/>
    </row>
    <row r="512">
      <c r="P512" s="90"/>
    </row>
    <row r="513">
      <c r="P513" s="90"/>
    </row>
    <row r="514">
      <c r="P514" s="90"/>
    </row>
    <row r="515">
      <c r="P515" s="90"/>
    </row>
    <row r="516">
      <c r="P516" s="90"/>
    </row>
    <row r="517">
      <c r="P517" s="90"/>
    </row>
    <row r="518">
      <c r="P518" s="90"/>
    </row>
    <row r="519">
      <c r="P519" s="90"/>
    </row>
    <row r="520">
      <c r="P520" s="90"/>
    </row>
    <row r="521">
      <c r="P521" s="90"/>
    </row>
    <row r="522">
      <c r="P522" s="90"/>
    </row>
    <row r="523">
      <c r="P523" s="90"/>
    </row>
    <row r="524">
      <c r="P524" s="90"/>
    </row>
    <row r="525">
      <c r="P525" s="90"/>
    </row>
    <row r="526">
      <c r="P526" s="90"/>
    </row>
    <row r="527">
      <c r="P527" s="90"/>
    </row>
    <row r="528">
      <c r="P528" s="90"/>
    </row>
    <row r="529">
      <c r="P529" s="90"/>
    </row>
    <row r="530">
      <c r="P530" s="90"/>
    </row>
    <row r="531">
      <c r="P531" s="90"/>
    </row>
    <row r="532">
      <c r="P532" s="90"/>
    </row>
    <row r="533">
      <c r="P533" s="90"/>
    </row>
    <row r="534">
      <c r="P534" s="90"/>
    </row>
    <row r="535">
      <c r="P535" s="90"/>
    </row>
    <row r="536">
      <c r="P536" s="90"/>
    </row>
    <row r="537">
      <c r="P537" s="90"/>
    </row>
    <row r="538">
      <c r="P538" s="90"/>
    </row>
    <row r="539">
      <c r="P539" s="90"/>
    </row>
    <row r="540">
      <c r="P540" s="90"/>
    </row>
    <row r="541">
      <c r="P541" s="90"/>
    </row>
    <row r="542">
      <c r="P542" s="90"/>
    </row>
    <row r="543">
      <c r="P543" s="90"/>
    </row>
    <row r="544">
      <c r="P544" s="90"/>
    </row>
    <row r="545">
      <c r="P545" s="90"/>
    </row>
    <row r="546">
      <c r="P546" s="90"/>
    </row>
    <row r="547">
      <c r="P547" s="90"/>
    </row>
    <row r="548">
      <c r="P548" s="90"/>
    </row>
    <row r="549">
      <c r="P549" s="90"/>
    </row>
    <row r="550">
      <c r="P550" s="90"/>
    </row>
    <row r="551">
      <c r="P551" s="90"/>
    </row>
    <row r="552">
      <c r="P552" s="90"/>
    </row>
    <row r="553">
      <c r="P553" s="90"/>
    </row>
    <row r="554">
      <c r="P554" s="90"/>
    </row>
    <row r="555">
      <c r="P555" s="90"/>
    </row>
    <row r="556">
      <c r="P556" s="90"/>
    </row>
    <row r="557">
      <c r="P557" s="90"/>
    </row>
    <row r="558">
      <c r="P558" s="90"/>
    </row>
    <row r="559">
      <c r="P559" s="90"/>
    </row>
    <row r="560">
      <c r="P560" s="90"/>
    </row>
    <row r="561">
      <c r="P561" s="90"/>
    </row>
    <row r="562">
      <c r="P562" s="90"/>
    </row>
    <row r="563">
      <c r="P563" s="90"/>
    </row>
    <row r="564">
      <c r="P564" s="90"/>
    </row>
    <row r="565">
      <c r="P565" s="90"/>
    </row>
    <row r="566">
      <c r="P566" s="90"/>
    </row>
    <row r="567">
      <c r="P567" s="90"/>
    </row>
    <row r="568">
      <c r="P568" s="90"/>
    </row>
    <row r="569">
      <c r="P569" s="90"/>
    </row>
    <row r="570">
      <c r="P570" s="90"/>
    </row>
    <row r="571">
      <c r="P571" s="90"/>
    </row>
    <row r="572">
      <c r="P572" s="90"/>
    </row>
    <row r="573">
      <c r="P573" s="90"/>
    </row>
    <row r="574">
      <c r="P574" s="90"/>
    </row>
    <row r="575">
      <c r="P575" s="90"/>
    </row>
    <row r="576">
      <c r="P576" s="90"/>
    </row>
    <row r="577">
      <c r="P577" s="90"/>
    </row>
    <row r="578">
      <c r="P578" s="90"/>
    </row>
    <row r="579">
      <c r="P579" s="90"/>
    </row>
    <row r="580">
      <c r="P580" s="90"/>
    </row>
    <row r="581">
      <c r="P581" s="90"/>
    </row>
    <row r="582">
      <c r="P582" s="90"/>
    </row>
    <row r="583">
      <c r="P583" s="90"/>
    </row>
    <row r="584">
      <c r="P584" s="90"/>
    </row>
    <row r="585">
      <c r="P585" s="90"/>
    </row>
    <row r="586">
      <c r="P586" s="90"/>
    </row>
    <row r="587">
      <c r="P587" s="90"/>
    </row>
    <row r="588">
      <c r="P588" s="90"/>
    </row>
    <row r="589">
      <c r="P589" s="90"/>
    </row>
    <row r="590">
      <c r="P590" s="90"/>
    </row>
    <row r="591">
      <c r="P591" s="90"/>
    </row>
    <row r="592">
      <c r="P592" s="90"/>
    </row>
    <row r="593">
      <c r="P593" s="90"/>
    </row>
    <row r="594">
      <c r="P594" s="90"/>
    </row>
    <row r="595">
      <c r="P595" s="90"/>
    </row>
    <row r="596">
      <c r="P596" s="90"/>
    </row>
    <row r="597">
      <c r="P597" s="90"/>
    </row>
    <row r="598">
      <c r="P598" s="90"/>
    </row>
    <row r="599">
      <c r="P599" s="90"/>
    </row>
    <row r="600">
      <c r="P600" s="90"/>
    </row>
    <row r="601">
      <c r="P601" s="90"/>
    </row>
    <row r="602">
      <c r="P602" s="90"/>
    </row>
    <row r="603">
      <c r="P603" s="90"/>
    </row>
    <row r="604">
      <c r="P604" s="90"/>
    </row>
    <row r="605">
      <c r="P605" s="90"/>
    </row>
    <row r="606">
      <c r="P606" s="90"/>
    </row>
    <row r="607">
      <c r="P607" s="90"/>
    </row>
    <row r="608">
      <c r="P608" s="90"/>
    </row>
    <row r="609">
      <c r="P609" s="90"/>
    </row>
    <row r="610">
      <c r="P610" s="90"/>
    </row>
    <row r="611">
      <c r="P611" s="90"/>
    </row>
    <row r="612">
      <c r="P612" s="90"/>
    </row>
    <row r="613">
      <c r="P613" s="90"/>
    </row>
    <row r="614">
      <c r="P614" s="90"/>
    </row>
    <row r="615">
      <c r="P615" s="90"/>
    </row>
    <row r="616">
      <c r="P616" s="90"/>
    </row>
    <row r="617">
      <c r="P617" s="90"/>
    </row>
    <row r="618">
      <c r="P618" s="90"/>
    </row>
    <row r="619">
      <c r="P619" s="90"/>
    </row>
    <row r="620">
      <c r="P620" s="90"/>
    </row>
    <row r="621">
      <c r="P621" s="90"/>
    </row>
    <row r="622">
      <c r="P622" s="90"/>
    </row>
    <row r="623">
      <c r="P623" s="90"/>
    </row>
    <row r="624">
      <c r="P624" s="90"/>
    </row>
    <row r="625">
      <c r="P625" s="90"/>
    </row>
    <row r="626">
      <c r="P626" s="90"/>
    </row>
    <row r="627">
      <c r="P627" s="90"/>
    </row>
    <row r="628">
      <c r="P628" s="90"/>
    </row>
    <row r="629">
      <c r="P629" s="90"/>
    </row>
    <row r="630">
      <c r="P630" s="90"/>
    </row>
    <row r="631">
      <c r="P631" s="90"/>
    </row>
    <row r="632">
      <c r="P632" s="90"/>
    </row>
    <row r="633">
      <c r="P633" s="90"/>
    </row>
    <row r="634">
      <c r="P634" s="90"/>
    </row>
    <row r="635">
      <c r="P635" s="90"/>
    </row>
    <row r="636">
      <c r="P636" s="90"/>
    </row>
    <row r="637">
      <c r="P637" s="90"/>
    </row>
    <row r="638">
      <c r="P638" s="90"/>
    </row>
    <row r="639">
      <c r="P639" s="90"/>
    </row>
    <row r="640">
      <c r="P640" s="90"/>
    </row>
    <row r="641">
      <c r="P641" s="90"/>
    </row>
    <row r="642">
      <c r="P642" s="90"/>
    </row>
    <row r="643">
      <c r="P643" s="90"/>
    </row>
    <row r="644">
      <c r="P644" s="90"/>
    </row>
    <row r="645">
      <c r="P645" s="90"/>
    </row>
    <row r="646">
      <c r="P646" s="90"/>
    </row>
    <row r="647">
      <c r="P647" s="90"/>
    </row>
    <row r="648">
      <c r="P648" s="90"/>
    </row>
    <row r="649">
      <c r="P649" s="90"/>
    </row>
    <row r="650">
      <c r="P650" s="90"/>
    </row>
    <row r="651">
      <c r="P651" s="90"/>
    </row>
    <row r="652">
      <c r="P652" s="90"/>
    </row>
    <row r="653">
      <c r="P653" s="90"/>
    </row>
    <row r="654">
      <c r="P654" s="90"/>
    </row>
    <row r="655">
      <c r="P655" s="90"/>
    </row>
    <row r="656">
      <c r="P656" s="90"/>
    </row>
    <row r="657">
      <c r="P657" s="90"/>
    </row>
    <row r="658">
      <c r="P658" s="90"/>
    </row>
    <row r="659">
      <c r="P659" s="90"/>
    </row>
    <row r="660">
      <c r="P660" s="90"/>
    </row>
    <row r="661">
      <c r="P661" s="90"/>
    </row>
    <row r="662">
      <c r="P662" s="90"/>
    </row>
    <row r="663">
      <c r="P663" s="90"/>
    </row>
    <row r="664">
      <c r="P664" s="90"/>
    </row>
    <row r="665">
      <c r="P665" s="90"/>
    </row>
    <row r="666">
      <c r="P666" s="90"/>
    </row>
    <row r="667">
      <c r="P667" s="90"/>
    </row>
    <row r="668">
      <c r="P668" s="90"/>
    </row>
    <row r="669">
      <c r="P669" s="90"/>
    </row>
    <row r="670">
      <c r="P670" s="90"/>
    </row>
    <row r="671">
      <c r="P671" s="90"/>
    </row>
    <row r="672">
      <c r="P672" s="90"/>
    </row>
    <row r="673">
      <c r="P673" s="90"/>
    </row>
    <row r="674">
      <c r="P674" s="90"/>
    </row>
    <row r="675">
      <c r="P675" s="90"/>
    </row>
    <row r="676">
      <c r="P676" s="90"/>
    </row>
    <row r="677">
      <c r="P677" s="90"/>
    </row>
    <row r="678">
      <c r="P678" s="90"/>
    </row>
    <row r="679">
      <c r="P679" s="90"/>
    </row>
    <row r="680">
      <c r="P680" s="90"/>
    </row>
    <row r="681">
      <c r="P681" s="90"/>
    </row>
    <row r="682">
      <c r="P682" s="90"/>
    </row>
    <row r="683">
      <c r="P683" s="90"/>
    </row>
    <row r="684">
      <c r="P684" s="90"/>
    </row>
    <row r="685">
      <c r="P685" s="90"/>
    </row>
    <row r="686">
      <c r="P686" s="90"/>
    </row>
    <row r="687">
      <c r="P687" s="90"/>
    </row>
    <row r="688">
      <c r="P688" s="90"/>
    </row>
    <row r="689">
      <c r="P689" s="90"/>
    </row>
    <row r="690">
      <c r="P690" s="90"/>
    </row>
    <row r="691">
      <c r="P691" s="90"/>
    </row>
    <row r="692">
      <c r="P692" s="90"/>
    </row>
    <row r="693">
      <c r="P693" s="90"/>
    </row>
    <row r="694">
      <c r="P694" s="90"/>
    </row>
    <row r="695">
      <c r="P695" s="90"/>
    </row>
    <row r="696">
      <c r="P696" s="90"/>
    </row>
    <row r="697">
      <c r="P697" s="90"/>
    </row>
    <row r="698">
      <c r="P698" s="90"/>
    </row>
    <row r="699">
      <c r="P699" s="90"/>
    </row>
    <row r="700">
      <c r="P700" s="90"/>
    </row>
    <row r="701">
      <c r="P701" s="90"/>
    </row>
    <row r="702">
      <c r="P702" s="90"/>
    </row>
    <row r="703">
      <c r="P703" s="90"/>
    </row>
    <row r="704">
      <c r="P704" s="90"/>
    </row>
    <row r="705">
      <c r="P705" s="90"/>
    </row>
    <row r="706">
      <c r="P706" s="90"/>
    </row>
    <row r="707">
      <c r="P707" s="90"/>
    </row>
    <row r="708">
      <c r="P708" s="90"/>
    </row>
    <row r="709">
      <c r="P709" s="90"/>
    </row>
    <row r="710">
      <c r="P710" s="90"/>
    </row>
    <row r="711">
      <c r="P711" s="90"/>
    </row>
    <row r="712">
      <c r="P712" s="90"/>
    </row>
    <row r="713">
      <c r="P713" s="90"/>
    </row>
    <row r="714">
      <c r="P714" s="90"/>
    </row>
    <row r="715">
      <c r="P715" s="90"/>
    </row>
    <row r="716">
      <c r="P716" s="90"/>
    </row>
    <row r="717">
      <c r="P717" s="90"/>
    </row>
    <row r="718">
      <c r="P718" s="90"/>
    </row>
    <row r="719">
      <c r="P719" s="90"/>
    </row>
    <row r="720">
      <c r="P720" s="90"/>
    </row>
    <row r="721">
      <c r="P721" s="90"/>
    </row>
    <row r="722">
      <c r="P722" s="90"/>
    </row>
    <row r="723">
      <c r="P723" s="90"/>
    </row>
    <row r="724">
      <c r="P724" s="90"/>
    </row>
    <row r="725">
      <c r="P725" s="90"/>
    </row>
    <row r="726">
      <c r="P726" s="90"/>
    </row>
    <row r="727">
      <c r="P727" s="90"/>
    </row>
    <row r="728">
      <c r="P728" s="90"/>
    </row>
    <row r="729">
      <c r="P729" s="90"/>
    </row>
    <row r="730">
      <c r="P730" s="90"/>
    </row>
    <row r="731">
      <c r="P731" s="90"/>
    </row>
    <row r="732">
      <c r="P732" s="90"/>
    </row>
    <row r="733">
      <c r="P733" s="90"/>
    </row>
    <row r="734">
      <c r="P734" s="90"/>
    </row>
    <row r="735">
      <c r="P735" s="90"/>
    </row>
    <row r="736">
      <c r="P736" s="90"/>
    </row>
    <row r="737">
      <c r="P737" s="90"/>
    </row>
    <row r="738">
      <c r="P738" s="90"/>
    </row>
    <row r="739">
      <c r="P739" s="90"/>
    </row>
    <row r="740">
      <c r="P740" s="90"/>
    </row>
    <row r="741">
      <c r="P741" s="90"/>
    </row>
    <row r="742">
      <c r="P742" s="90"/>
    </row>
    <row r="743">
      <c r="P743" s="90"/>
    </row>
    <row r="744">
      <c r="P744" s="90"/>
    </row>
    <row r="745">
      <c r="P745" s="90"/>
    </row>
    <row r="746">
      <c r="P746" s="90"/>
    </row>
    <row r="747">
      <c r="P747" s="90"/>
    </row>
    <row r="748">
      <c r="P748" s="90"/>
    </row>
    <row r="749">
      <c r="P749" s="90"/>
    </row>
    <row r="750">
      <c r="P750" s="90"/>
    </row>
    <row r="751">
      <c r="P751" s="90"/>
    </row>
    <row r="752">
      <c r="P752" s="90"/>
    </row>
    <row r="753">
      <c r="P753" s="90"/>
    </row>
    <row r="754">
      <c r="P754" s="90"/>
    </row>
    <row r="755">
      <c r="P755" s="90"/>
    </row>
    <row r="756">
      <c r="P756" s="90"/>
    </row>
    <row r="757">
      <c r="P757" s="90"/>
    </row>
    <row r="758">
      <c r="P758" s="90"/>
    </row>
    <row r="759">
      <c r="P759" s="90"/>
    </row>
    <row r="760">
      <c r="P760" s="90"/>
    </row>
    <row r="761">
      <c r="P761" s="90"/>
    </row>
    <row r="762">
      <c r="P762" s="90"/>
    </row>
    <row r="763">
      <c r="P763" s="90"/>
    </row>
    <row r="764">
      <c r="P764" s="90"/>
    </row>
    <row r="765">
      <c r="P765" s="90"/>
    </row>
    <row r="766">
      <c r="P766" s="90"/>
    </row>
    <row r="767">
      <c r="P767" s="90"/>
    </row>
    <row r="768">
      <c r="P768" s="90"/>
    </row>
    <row r="769">
      <c r="P769" s="90"/>
    </row>
    <row r="770">
      <c r="P770" s="90"/>
    </row>
    <row r="771">
      <c r="P771" s="90"/>
    </row>
    <row r="772">
      <c r="P772" s="90"/>
    </row>
    <row r="773">
      <c r="P773" s="90"/>
    </row>
    <row r="774">
      <c r="P774" s="90"/>
    </row>
    <row r="775">
      <c r="P775" s="90"/>
    </row>
    <row r="776">
      <c r="P776" s="90"/>
    </row>
    <row r="777">
      <c r="P777" s="90"/>
    </row>
    <row r="778">
      <c r="P778" s="90"/>
    </row>
    <row r="779">
      <c r="P779" s="90"/>
    </row>
    <row r="780">
      <c r="P780" s="90"/>
    </row>
    <row r="781">
      <c r="P781" s="90"/>
    </row>
    <row r="782">
      <c r="P782" s="90"/>
    </row>
    <row r="783">
      <c r="P783" s="90"/>
    </row>
    <row r="784">
      <c r="P784" s="90"/>
    </row>
    <row r="785">
      <c r="P785" s="90"/>
    </row>
    <row r="786">
      <c r="P786" s="90"/>
    </row>
    <row r="787">
      <c r="P787" s="90"/>
    </row>
    <row r="788">
      <c r="P788" s="90"/>
    </row>
    <row r="789">
      <c r="P789" s="90"/>
    </row>
    <row r="790">
      <c r="P790" s="90"/>
    </row>
    <row r="791">
      <c r="P791" s="90"/>
    </row>
    <row r="792">
      <c r="P792" s="90"/>
    </row>
    <row r="793">
      <c r="P793" s="90"/>
    </row>
    <row r="794">
      <c r="P794" s="90"/>
    </row>
    <row r="795">
      <c r="P795" s="90"/>
    </row>
    <row r="796">
      <c r="P796" s="90"/>
    </row>
    <row r="797">
      <c r="P797" s="90"/>
    </row>
    <row r="798">
      <c r="P798" s="90"/>
    </row>
    <row r="799">
      <c r="P799" s="90"/>
    </row>
    <row r="800">
      <c r="P800" s="90"/>
    </row>
    <row r="801">
      <c r="P801" s="90"/>
    </row>
    <row r="802">
      <c r="P802" s="90"/>
    </row>
    <row r="803">
      <c r="P803" s="90"/>
    </row>
    <row r="804">
      <c r="P804" s="90"/>
    </row>
    <row r="805">
      <c r="P805" s="90"/>
    </row>
    <row r="806">
      <c r="P806" s="90"/>
    </row>
    <row r="807">
      <c r="P807" s="90"/>
    </row>
    <row r="808">
      <c r="P808" s="90"/>
    </row>
    <row r="809">
      <c r="P809" s="90"/>
    </row>
    <row r="810">
      <c r="P810" s="90"/>
    </row>
    <row r="811">
      <c r="P811" s="90"/>
    </row>
    <row r="812">
      <c r="P812" s="90"/>
    </row>
    <row r="813">
      <c r="P813" s="90"/>
    </row>
    <row r="814">
      <c r="P814" s="90"/>
    </row>
    <row r="815">
      <c r="P815" s="90"/>
    </row>
    <row r="816">
      <c r="P816" s="90"/>
    </row>
    <row r="817">
      <c r="P817" s="90"/>
    </row>
    <row r="818">
      <c r="P818" s="90"/>
    </row>
    <row r="819">
      <c r="P819" s="90"/>
    </row>
    <row r="820">
      <c r="P820" s="90"/>
    </row>
    <row r="821">
      <c r="P821" s="90"/>
    </row>
    <row r="822">
      <c r="P822" s="90"/>
    </row>
    <row r="823">
      <c r="P823" s="90"/>
    </row>
    <row r="824">
      <c r="P824" s="90"/>
    </row>
    <row r="825">
      <c r="P825" s="90"/>
    </row>
    <row r="826">
      <c r="P826" s="90"/>
    </row>
    <row r="827">
      <c r="P827" s="90"/>
    </row>
    <row r="828">
      <c r="P828" s="90"/>
    </row>
    <row r="829">
      <c r="P829" s="90"/>
    </row>
    <row r="830">
      <c r="P830" s="90"/>
    </row>
    <row r="831">
      <c r="P831" s="90"/>
    </row>
    <row r="832">
      <c r="P832" s="90"/>
    </row>
    <row r="833">
      <c r="P833" s="90"/>
    </row>
    <row r="834">
      <c r="P834" s="90"/>
    </row>
    <row r="835">
      <c r="P835" s="90"/>
    </row>
    <row r="836">
      <c r="P836" s="90"/>
    </row>
    <row r="837">
      <c r="P837" s="90"/>
    </row>
    <row r="838">
      <c r="P838" s="90"/>
    </row>
    <row r="839">
      <c r="P839" s="90"/>
    </row>
    <row r="840">
      <c r="P840" s="90"/>
    </row>
    <row r="841">
      <c r="P841" s="90"/>
    </row>
    <row r="842">
      <c r="P842" s="90"/>
    </row>
    <row r="843">
      <c r="P843" s="90"/>
    </row>
    <row r="844">
      <c r="P844" s="90"/>
    </row>
    <row r="845">
      <c r="P845" s="90"/>
    </row>
    <row r="846">
      <c r="P846" s="90"/>
    </row>
    <row r="847">
      <c r="P847" s="90"/>
    </row>
    <row r="848">
      <c r="P848" s="90"/>
    </row>
    <row r="849">
      <c r="P849" s="90"/>
    </row>
    <row r="850">
      <c r="P850" s="90"/>
    </row>
    <row r="851">
      <c r="P851" s="90"/>
    </row>
    <row r="852">
      <c r="P852" s="90"/>
    </row>
    <row r="853">
      <c r="P853" s="90"/>
    </row>
    <row r="854">
      <c r="P854" s="90"/>
    </row>
    <row r="855">
      <c r="P855" s="90"/>
    </row>
    <row r="856">
      <c r="P856" s="90"/>
    </row>
    <row r="857">
      <c r="P857" s="90"/>
    </row>
    <row r="858">
      <c r="P858" s="90"/>
    </row>
    <row r="859">
      <c r="P859" s="90"/>
    </row>
    <row r="860">
      <c r="P860" s="90"/>
    </row>
    <row r="861">
      <c r="P861" s="90"/>
    </row>
    <row r="862">
      <c r="P862" s="90"/>
    </row>
    <row r="863">
      <c r="P863" s="90"/>
    </row>
    <row r="864">
      <c r="P864" s="90"/>
    </row>
    <row r="865">
      <c r="P865" s="90"/>
    </row>
    <row r="866">
      <c r="P866" s="90"/>
    </row>
    <row r="867">
      <c r="P867" s="90"/>
    </row>
    <row r="868">
      <c r="P868" s="90"/>
    </row>
    <row r="869">
      <c r="P869" s="90"/>
    </row>
    <row r="870">
      <c r="P870" s="90"/>
    </row>
    <row r="871">
      <c r="P871" s="90"/>
    </row>
    <row r="872">
      <c r="P872" s="90"/>
    </row>
    <row r="873">
      <c r="P873" s="90"/>
    </row>
    <row r="874">
      <c r="P874" s="90"/>
    </row>
    <row r="875">
      <c r="P875" s="90"/>
    </row>
    <row r="876">
      <c r="P876" s="90"/>
    </row>
    <row r="877">
      <c r="P877" s="90"/>
    </row>
    <row r="878">
      <c r="P878" s="90"/>
    </row>
    <row r="879">
      <c r="P879" s="90"/>
    </row>
    <row r="880">
      <c r="P880" s="90"/>
    </row>
    <row r="881">
      <c r="P881" s="90"/>
    </row>
    <row r="882">
      <c r="P882" s="90"/>
    </row>
    <row r="883">
      <c r="P883" s="90"/>
    </row>
    <row r="884">
      <c r="P884" s="90"/>
    </row>
    <row r="885">
      <c r="P885" s="90"/>
    </row>
    <row r="886">
      <c r="P886" s="90"/>
    </row>
    <row r="887">
      <c r="P887" s="90"/>
    </row>
    <row r="888">
      <c r="P888" s="90"/>
    </row>
    <row r="889">
      <c r="P889" s="90"/>
    </row>
    <row r="890">
      <c r="P890" s="90"/>
    </row>
    <row r="891">
      <c r="P891" s="90"/>
    </row>
    <row r="892">
      <c r="P892" s="90"/>
    </row>
    <row r="893">
      <c r="P893" s="90"/>
    </row>
    <row r="894">
      <c r="P894" s="90"/>
    </row>
    <row r="895">
      <c r="P895" s="90"/>
    </row>
    <row r="896">
      <c r="P896" s="90"/>
    </row>
    <row r="897">
      <c r="P897" s="90"/>
    </row>
    <row r="898">
      <c r="P898" s="90"/>
    </row>
    <row r="899">
      <c r="P899" s="90"/>
    </row>
    <row r="900">
      <c r="P900" s="90"/>
    </row>
    <row r="901">
      <c r="P901" s="90"/>
    </row>
    <row r="902">
      <c r="P902" s="90"/>
    </row>
    <row r="903">
      <c r="P903" s="90"/>
    </row>
    <row r="904">
      <c r="P904" s="90"/>
    </row>
    <row r="905">
      <c r="P905" s="90"/>
    </row>
    <row r="906">
      <c r="P906" s="90"/>
    </row>
    <row r="907">
      <c r="P907" s="90"/>
    </row>
    <row r="908">
      <c r="P908" s="90"/>
    </row>
    <row r="909">
      <c r="P909" s="90"/>
    </row>
    <row r="910">
      <c r="P910" s="90"/>
    </row>
    <row r="911">
      <c r="P911" s="90"/>
    </row>
    <row r="912">
      <c r="P912" s="90"/>
    </row>
    <row r="913">
      <c r="P913" s="90"/>
    </row>
    <row r="914">
      <c r="P914" s="90"/>
    </row>
    <row r="915">
      <c r="P915" s="90"/>
    </row>
    <row r="916">
      <c r="P916" s="90"/>
    </row>
    <row r="917">
      <c r="P917" s="90"/>
    </row>
    <row r="918">
      <c r="P918" s="90"/>
    </row>
    <row r="919">
      <c r="P919" s="90"/>
    </row>
    <row r="920">
      <c r="P920" s="90"/>
    </row>
    <row r="921">
      <c r="P921" s="90"/>
    </row>
    <row r="922">
      <c r="P922" s="90"/>
    </row>
    <row r="923">
      <c r="P923" s="90"/>
    </row>
    <row r="924">
      <c r="P924" s="90"/>
    </row>
    <row r="925">
      <c r="P925" s="90"/>
    </row>
    <row r="926">
      <c r="P926" s="90"/>
    </row>
    <row r="927">
      <c r="P927" s="90"/>
    </row>
    <row r="928">
      <c r="P928" s="90"/>
    </row>
    <row r="929">
      <c r="P929" s="90"/>
    </row>
    <row r="930">
      <c r="P930" s="90"/>
    </row>
    <row r="931">
      <c r="P931" s="90"/>
    </row>
    <row r="932">
      <c r="P932" s="90"/>
    </row>
    <row r="933">
      <c r="P933" s="90"/>
    </row>
    <row r="934">
      <c r="P934" s="90"/>
    </row>
    <row r="935">
      <c r="P935" s="90"/>
    </row>
    <row r="936">
      <c r="P936" s="90"/>
    </row>
    <row r="937">
      <c r="P937" s="90"/>
    </row>
    <row r="938">
      <c r="P938" s="90"/>
    </row>
    <row r="939">
      <c r="P939" s="90"/>
    </row>
    <row r="940">
      <c r="P940" s="90"/>
    </row>
    <row r="941">
      <c r="P941" s="90"/>
    </row>
    <row r="942">
      <c r="P942" s="90"/>
    </row>
    <row r="943">
      <c r="P943" s="90"/>
    </row>
    <row r="944">
      <c r="P944" s="90"/>
    </row>
    <row r="945">
      <c r="P945" s="90"/>
    </row>
    <row r="946">
      <c r="P946" s="90"/>
    </row>
    <row r="947">
      <c r="P947" s="90"/>
    </row>
    <row r="948">
      <c r="P948" s="90"/>
    </row>
    <row r="949">
      <c r="P949" s="90"/>
    </row>
    <row r="950">
      <c r="P950" s="90"/>
    </row>
    <row r="951">
      <c r="P951" s="90"/>
    </row>
    <row r="952">
      <c r="P952" s="90"/>
    </row>
    <row r="953">
      <c r="P953" s="90"/>
    </row>
    <row r="954">
      <c r="P954" s="90"/>
    </row>
    <row r="955">
      <c r="P955" s="90"/>
    </row>
    <row r="956">
      <c r="P956" s="90"/>
    </row>
    <row r="957">
      <c r="P957" s="90"/>
    </row>
    <row r="958">
      <c r="P958" s="90"/>
    </row>
    <row r="959">
      <c r="P959" s="90"/>
    </row>
    <row r="960">
      <c r="P960" s="90"/>
    </row>
    <row r="961">
      <c r="P961" s="90"/>
    </row>
    <row r="962">
      <c r="P962" s="90"/>
    </row>
    <row r="963">
      <c r="P963" s="90"/>
    </row>
    <row r="964">
      <c r="P964" s="90"/>
    </row>
    <row r="965">
      <c r="P965" s="90"/>
    </row>
    <row r="966">
      <c r="P966" s="90"/>
    </row>
    <row r="967">
      <c r="P967" s="90"/>
    </row>
    <row r="968">
      <c r="P968" s="90"/>
    </row>
    <row r="969">
      <c r="P969" s="90"/>
    </row>
    <row r="970">
      <c r="P970" s="90"/>
    </row>
    <row r="971">
      <c r="P971" s="90"/>
    </row>
    <row r="972">
      <c r="P972" s="90"/>
    </row>
    <row r="973">
      <c r="P973" s="90"/>
    </row>
    <row r="974">
      <c r="P974" s="90"/>
    </row>
    <row r="975">
      <c r="P975" s="90"/>
    </row>
    <row r="976">
      <c r="P976" s="90"/>
    </row>
    <row r="977">
      <c r="P977" s="90"/>
    </row>
    <row r="978">
      <c r="P978" s="90"/>
    </row>
    <row r="979">
      <c r="P979" s="90"/>
    </row>
    <row r="980">
      <c r="P980" s="90"/>
    </row>
    <row r="981">
      <c r="P981" s="90"/>
    </row>
    <row r="982">
      <c r="P982" s="90"/>
    </row>
    <row r="983">
      <c r="P983" s="90"/>
    </row>
    <row r="984">
      <c r="P984" s="90"/>
    </row>
    <row r="985">
      <c r="P985" s="90"/>
    </row>
    <row r="986">
      <c r="P986" s="90"/>
    </row>
    <row r="987">
      <c r="P987" s="90"/>
    </row>
    <row r="988">
      <c r="P988" s="90"/>
    </row>
    <row r="989">
      <c r="P989" s="90"/>
    </row>
    <row r="990">
      <c r="P990" s="90"/>
    </row>
    <row r="991">
      <c r="P991" s="90"/>
    </row>
    <row r="992">
      <c r="P992" s="90"/>
    </row>
    <row r="993">
      <c r="P993" s="90"/>
    </row>
    <row r="994">
      <c r="P994" s="90"/>
    </row>
    <row r="995">
      <c r="P995" s="90"/>
    </row>
    <row r="996">
      <c r="P996" s="90"/>
    </row>
    <row r="997">
      <c r="P997" s="90"/>
    </row>
    <row r="998">
      <c r="P998" s="90"/>
    </row>
    <row r="999">
      <c r="P999" s="90"/>
    </row>
    <row r="1000">
      <c r="P1000" s="90"/>
    </row>
  </sheetData>
  <mergeCells count="14">
    <mergeCell ref="E3:F3"/>
    <mergeCell ref="D38:G38"/>
    <mergeCell ref="I38:K38"/>
    <mergeCell ref="N38:O38"/>
    <mergeCell ref="P38:R38"/>
    <mergeCell ref="N40:O40"/>
    <mergeCell ref="P40:R40"/>
    <mergeCell ref="C1:E1"/>
    <mergeCell ref="F1:H1"/>
    <mergeCell ref="I1:J1"/>
    <mergeCell ref="K1:L1"/>
    <mergeCell ref="N1:O1"/>
    <mergeCell ref="P1:R1"/>
    <mergeCell ref="G3:H3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3" max="13" width="23.25"/>
    <col customWidth="1" min="15" max="15" width="24.38"/>
  </cols>
  <sheetData>
    <row r="1" ht="45.0" customHeight="1">
      <c r="A1" s="91"/>
      <c r="B1" s="92">
        <v>44865.0</v>
      </c>
      <c r="C1" s="4"/>
      <c r="D1" s="4"/>
      <c r="E1" s="93" t="s">
        <v>0</v>
      </c>
      <c r="H1" s="94" t="s">
        <v>1</v>
      </c>
      <c r="I1" s="4"/>
      <c r="J1" s="93" t="s">
        <v>2</v>
      </c>
      <c r="L1" s="95"/>
      <c r="M1" s="96" t="s">
        <v>3</v>
      </c>
      <c r="N1" s="4"/>
      <c r="O1" s="93" t="s">
        <v>4</v>
      </c>
      <c r="R1" s="97"/>
      <c r="S1" s="98"/>
      <c r="T1" s="99"/>
      <c r="U1" s="99"/>
      <c r="V1" s="99"/>
      <c r="W1" s="99"/>
      <c r="X1" s="99"/>
      <c r="Y1" s="99"/>
      <c r="Z1" s="99"/>
    </row>
    <row r="2">
      <c r="A2" s="100"/>
      <c r="B2" s="100"/>
      <c r="C2" s="100"/>
      <c r="D2" s="100"/>
      <c r="E2" s="100"/>
      <c r="F2" s="100"/>
      <c r="G2" s="100"/>
      <c r="H2" s="100"/>
      <c r="I2" s="101"/>
      <c r="J2" s="100"/>
      <c r="K2" s="102"/>
      <c r="L2" s="103"/>
      <c r="M2" s="100"/>
      <c r="N2" s="100"/>
      <c r="O2" s="100"/>
      <c r="P2" s="100"/>
      <c r="Q2" s="100"/>
      <c r="R2" s="104"/>
      <c r="S2" s="102"/>
    </row>
    <row r="3" ht="49.5" customHeight="1">
      <c r="A3" s="13" t="s">
        <v>5</v>
      </c>
      <c r="B3" s="105" t="s">
        <v>7</v>
      </c>
      <c r="C3" s="105" t="s">
        <v>8</v>
      </c>
      <c r="D3" s="106" t="s">
        <v>9</v>
      </c>
      <c r="E3" s="15"/>
      <c r="F3" s="106" t="s">
        <v>10</v>
      </c>
      <c r="G3" s="15"/>
      <c r="H3" s="105" t="s">
        <v>11</v>
      </c>
      <c r="I3" s="16" t="s">
        <v>12</v>
      </c>
      <c r="J3" s="13" t="s">
        <v>13</v>
      </c>
      <c r="K3" s="105" t="s">
        <v>14</v>
      </c>
      <c r="L3" s="105" t="s">
        <v>15</v>
      </c>
      <c r="M3" s="107" t="s">
        <v>16</v>
      </c>
      <c r="N3" s="105" t="s">
        <v>17</v>
      </c>
      <c r="O3" s="107" t="s">
        <v>18</v>
      </c>
      <c r="P3" s="105" t="s">
        <v>19</v>
      </c>
      <c r="Q3" s="105" t="s">
        <v>20</v>
      </c>
      <c r="R3" s="108"/>
      <c r="S3" s="109" t="s">
        <v>21</v>
      </c>
      <c r="T3" s="59"/>
      <c r="U3" s="110" t="s">
        <v>22</v>
      </c>
      <c r="V3" s="111" t="s">
        <v>23</v>
      </c>
      <c r="W3" s="112"/>
      <c r="X3" s="112"/>
      <c r="Y3" s="59"/>
      <c r="Z3" s="59"/>
    </row>
    <row r="4" ht="33.75" customHeight="1">
      <c r="A4" s="113" t="s">
        <v>25</v>
      </c>
      <c r="B4" s="114" t="s">
        <v>27</v>
      </c>
      <c r="C4" s="33" t="s">
        <v>28</v>
      </c>
      <c r="D4" s="115" t="s">
        <v>29</v>
      </c>
      <c r="E4" s="115" t="s">
        <v>30</v>
      </c>
      <c r="F4" s="115" t="s">
        <v>29</v>
      </c>
      <c r="G4" s="115" t="s">
        <v>30</v>
      </c>
      <c r="H4" s="33" t="s">
        <v>31</v>
      </c>
      <c r="I4" s="116" t="s">
        <v>32</v>
      </c>
      <c r="J4" s="117">
        <v>1994.0</v>
      </c>
      <c r="K4" s="118">
        <v>29758.0</v>
      </c>
      <c r="L4" s="119" t="s">
        <v>33</v>
      </c>
      <c r="M4" s="120" t="s">
        <v>34</v>
      </c>
      <c r="N4" s="33" t="s">
        <v>35</v>
      </c>
      <c r="O4" s="120" t="s">
        <v>36</v>
      </c>
      <c r="P4" s="121">
        <v>85855.0</v>
      </c>
      <c r="Q4" s="114">
        <v>1.0</v>
      </c>
      <c r="R4" s="122"/>
      <c r="S4" s="123">
        <v>45565.0</v>
      </c>
      <c r="T4" s="59"/>
      <c r="U4" s="124">
        <f t="shared" ref="U4:U36" si="1">(S4-K4)/365</f>
        <v>43.30684932</v>
      </c>
      <c r="V4" s="125">
        <f t="shared" ref="V4:V36" si="2">(TODAY()-K4)/365</f>
        <v>45.09589041</v>
      </c>
      <c r="W4" s="108"/>
      <c r="X4" s="112"/>
      <c r="Y4" s="59"/>
      <c r="Z4" s="59"/>
    </row>
    <row r="5" ht="33.75" customHeight="1">
      <c r="A5" s="113" t="s">
        <v>25</v>
      </c>
      <c r="B5" s="114" t="s">
        <v>47</v>
      </c>
      <c r="C5" s="115" t="s">
        <v>39</v>
      </c>
      <c r="D5" s="33" t="s">
        <v>40</v>
      </c>
      <c r="E5" s="115" t="s">
        <v>30</v>
      </c>
      <c r="F5" s="115" t="s">
        <v>29</v>
      </c>
      <c r="G5" s="115" t="s">
        <v>30</v>
      </c>
      <c r="H5" s="33" t="s">
        <v>41</v>
      </c>
      <c r="I5" s="126">
        <v>0.0</v>
      </c>
      <c r="J5" s="33" t="s">
        <v>42</v>
      </c>
      <c r="K5" s="118">
        <v>29102.0</v>
      </c>
      <c r="L5" s="119" t="s">
        <v>127</v>
      </c>
      <c r="M5" s="120" t="s">
        <v>128</v>
      </c>
      <c r="N5" s="33" t="s">
        <v>35</v>
      </c>
      <c r="O5" s="120" t="s">
        <v>129</v>
      </c>
      <c r="P5" s="114">
        <v>697263.0</v>
      </c>
      <c r="Q5" s="114">
        <f t="shared" ref="Q5:Q36" si="3">Q4+1</f>
        <v>2</v>
      </c>
      <c r="R5" s="122"/>
      <c r="S5" s="123">
        <v>45565.0</v>
      </c>
      <c r="T5" s="59"/>
      <c r="U5" s="124">
        <f t="shared" si="1"/>
        <v>45.10410959</v>
      </c>
      <c r="V5" s="125">
        <f t="shared" si="2"/>
        <v>46.89315068</v>
      </c>
      <c r="W5" s="108"/>
      <c r="X5" s="112"/>
      <c r="Y5" s="59"/>
      <c r="Z5" s="59"/>
    </row>
    <row r="6" ht="33.75" customHeight="1">
      <c r="A6" s="113" t="s">
        <v>25</v>
      </c>
      <c r="B6" s="114" t="s">
        <v>53</v>
      </c>
      <c r="C6" s="127" t="s">
        <v>54</v>
      </c>
      <c r="D6" s="115" t="s">
        <v>29</v>
      </c>
      <c r="E6" s="115" t="s">
        <v>30</v>
      </c>
      <c r="F6" s="115" t="s">
        <v>29</v>
      </c>
      <c r="G6" s="115" t="s">
        <v>30</v>
      </c>
      <c r="H6" s="33" t="s">
        <v>131</v>
      </c>
      <c r="I6" s="116" t="s">
        <v>132</v>
      </c>
      <c r="J6" s="33" t="s">
        <v>42</v>
      </c>
      <c r="K6" s="128">
        <v>17036.0</v>
      </c>
      <c r="L6" s="119" t="s">
        <v>133</v>
      </c>
      <c r="M6" s="120" t="s">
        <v>134</v>
      </c>
      <c r="N6" s="33" t="s">
        <v>56</v>
      </c>
      <c r="O6" s="120" t="s">
        <v>128</v>
      </c>
      <c r="P6" s="114">
        <v>633202.0</v>
      </c>
      <c r="Q6" s="114">
        <f t="shared" si="3"/>
        <v>3</v>
      </c>
      <c r="R6" s="122"/>
      <c r="S6" s="123">
        <v>45565.0</v>
      </c>
      <c r="T6" s="59"/>
      <c r="U6" s="124">
        <f t="shared" si="1"/>
        <v>78.16164384</v>
      </c>
      <c r="V6" s="125">
        <f t="shared" si="2"/>
        <v>79.95068493</v>
      </c>
      <c r="W6" s="112"/>
      <c r="X6" s="112"/>
      <c r="Y6" s="59"/>
      <c r="Z6" s="59"/>
    </row>
    <row r="7" ht="33.75" customHeight="1">
      <c r="A7" s="113" t="s">
        <v>37</v>
      </c>
      <c r="B7" s="114" t="s">
        <v>75</v>
      </c>
      <c r="C7" s="127" t="s">
        <v>54</v>
      </c>
      <c r="D7" s="33" t="s">
        <v>40</v>
      </c>
      <c r="E7" s="115" t="s">
        <v>30</v>
      </c>
      <c r="F7" s="115" t="s">
        <v>29</v>
      </c>
      <c r="G7" s="115" t="s">
        <v>30</v>
      </c>
      <c r="H7" s="33" t="s">
        <v>48</v>
      </c>
      <c r="I7" s="126">
        <v>0.0</v>
      </c>
      <c r="J7" s="33" t="s">
        <v>42</v>
      </c>
      <c r="K7" s="128">
        <v>19489.0</v>
      </c>
      <c r="L7" s="119" t="s">
        <v>136</v>
      </c>
      <c r="M7" s="120" t="s">
        <v>137</v>
      </c>
      <c r="N7" s="33" t="s">
        <v>56</v>
      </c>
      <c r="O7" s="120" t="s">
        <v>138</v>
      </c>
      <c r="P7" s="114">
        <v>690594.0</v>
      </c>
      <c r="Q7" s="114">
        <f t="shared" si="3"/>
        <v>4</v>
      </c>
      <c r="R7" s="129"/>
      <c r="S7" s="123">
        <v>45565.0</v>
      </c>
      <c r="T7" s="59"/>
      <c r="U7" s="124">
        <f t="shared" si="1"/>
        <v>71.44109589</v>
      </c>
      <c r="V7" s="125">
        <f t="shared" si="2"/>
        <v>73.23013699</v>
      </c>
      <c r="W7" s="112"/>
      <c r="X7" s="112"/>
      <c r="Y7" s="59"/>
      <c r="Z7" s="59"/>
    </row>
    <row r="8" ht="33.75" customHeight="1">
      <c r="A8" s="113" t="s">
        <v>37</v>
      </c>
      <c r="B8" s="114" t="s">
        <v>27</v>
      </c>
      <c r="C8" s="115" t="s">
        <v>39</v>
      </c>
      <c r="D8" s="33" t="s">
        <v>40</v>
      </c>
      <c r="E8" s="115" t="s">
        <v>30</v>
      </c>
      <c r="F8" s="115" t="s">
        <v>29</v>
      </c>
      <c r="G8" s="115" t="s">
        <v>30</v>
      </c>
      <c r="H8" s="33" t="s">
        <v>41</v>
      </c>
      <c r="I8" s="126">
        <v>0.0</v>
      </c>
      <c r="J8" s="33" t="s">
        <v>42</v>
      </c>
      <c r="K8" s="118">
        <v>26511.0</v>
      </c>
      <c r="L8" s="119" t="s">
        <v>43</v>
      </c>
      <c r="M8" s="120" t="s">
        <v>44</v>
      </c>
      <c r="N8" s="33" t="s">
        <v>35</v>
      </c>
      <c r="O8" s="120" t="s">
        <v>45</v>
      </c>
      <c r="P8" s="114">
        <v>629409.0</v>
      </c>
      <c r="Q8" s="114">
        <f t="shared" si="3"/>
        <v>5</v>
      </c>
      <c r="R8" s="129"/>
      <c r="S8" s="123">
        <v>45565.0</v>
      </c>
      <c r="T8" s="59"/>
      <c r="U8" s="124">
        <f t="shared" si="1"/>
        <v>52.20273973</v>
      </c>
      <c r="V8" s="125">
        <f t="shared" si="2"/>
        <v>53.99178082</v>
      </c>
      <c r="W8" s="108"/>
      <c r="X8" s="112"/>
      <c r="Y8" s="59"/>
      <c r="Z8" s="59"/>
    </row>
    <row r="9" ht="33.75" customHeight="1">
      <c r="A9" s="113" t="s">
        <v>37</v>
      </c>
      <c r="B9" s="114" t="s">
        <v>47</v>
      </c>
      <c r="C9" s="115" t="s">
        <v>39</v>
      </c>
      <c r="D9" s="33" t="s">
        <v>40</v>
      </c>
      <c r="E9" s="115" t="s">
        <v>30</v>
      </c>
      <c r="F9" s="115" t="s">
        <v>29</v>
      </c>
      <c r="G9" s="115" t="s">
        <v>30</v>
      </c>
      <c r="H9" s="33" t="s">
        <v>48</v>
      </c>
      <c r="I9" s="126">
        <v>0.0</v>
      </c>
      <c r="J9" s="33" t="s">
        <v>42</v>
      </c>
      <c r="K9" s="128">
        <v>27595.0</v>
      </c>
      <c r="L9" s="119" t="s">
        <v>49</v>
      </c>
      <c r="M9" s="120" t="s">
        <v>50</v>
      </c>
      <c r="N9" s="33" t="s">
        <v>35</v>
      </c>
      <c r="O9" s="120" t="s">
        <v>51</v>
      </c>
      <c r="P9" s="114">
        <v>691771.0</v>
      </c>
      <c r="Q9" s="114">
        <f t="shared" si="3"/>
        <v>6</v>
      </c>
      <c r="R9" s="129"/>
      <c r="S9" s="123">
        <v>45565.0</v>
      </c>
      <c r="T9" s="59"/>
      <c r="U9" s="124">
        <f t="shared" si="1"/>
        <v>49.23287671</v>
      </c>
      <c r="V9" s="125">
        <f t="shared" si="2"/>
        <v>51.02191781</v>
      </c>
      <c r="W9" s="108"/>
      <c r="X9" s="112"/>
      <c r="Y9" s="59"/>
      <c r="Z9" s="59"/>
    </row>
    <row r="10" ht="33.75" customHeight="1">
      <c r="A10" s="113" t="s">
        <v>25</v>
      </c>
      <c r="B10" s="114" t="s">
        <v>53</v>
      </c>
      <c r="C10" s="33" t="s">
        <v>140</v>
      </c>
      <c r="D10" s="33" t="s">
        <v>40</v>
      </c>
      <c r="E10" s="115" t="s">
        <v>30</v>
      </c>
      <c r="F10" s="115" t="s">
        <v>29</v>
      </c>
      <c r="G10" s="115" t="s">
        <v>30</v>
      </c>
      <c r="H10" s="33" t="s">
        <v>48</v>
      </c>
      <c r="I10" s="116" t="s">
        <v>141</v>
      </c>
      <c r="J10" s="33" t="s">
        <v>42</v>
      </c>
      <c r="K10" s="128">
        <v>21596.0</v>
      </c>
      <c r="L10" s="119" t="s">
        <v>142</v>
      </c>
      <c r="M10" s="120" t="s">
        <v>143</v>
      </c>
      <c r="N10" s="33" t="s">
        <v>56</v>
      </c>
      <c r="O10" s="120" t="s">
        <v>204</v>
      </c>
      <c r="P10" s="114">
        <v>600898.0</v>
      </c>
      <c r="Q10" s="114">
        <f t="shared" si="3"/>
        <v>7</v>
      </c>
      <c r="R10" s="122"/>
      <c r="S10" s="123">
        <v>45565.0</v>
      </c>
      <c r="T10" s="59"/>
      <c r="U10" s="124">
        <f t="shared" si="1"/>
        <v>65.66849315</v>
      </c>
      <c r="V10" s="125">
        <f t="shared" si="2"/>
        <v>67.45753425</v>
      </c>
      <c r="W10" s="112"/>
      <c r="X10" s="112"/>
      <c r="Y10" s="59"/>
      <c r="Z10" s="59"/>
    </row>
    <row r="11" ht="33.75" customHeight="1">
      <c r="A11" s="113" t="s">
        <v>25</v>
      </c>
      <c r="B11" s="114" t="s">
        <v>53</v>
      </c>
      <c r="C11" s="127" t="s">
        <v>54</v>
      </c>
      <c r="D11" s="115" t="s">
        <v>29</v>
      </c>
      <c r="E11" s="115" t="s">
        <v>30</v>
      </c>
      <c r="F11" s="115" t="s">
        <v>29</v>
      </c>
      <c r="G11" s="115" t="s">
        <v>30</v>
      </c>
      <c r="H11" s="33" t="s">
        <v>31</v>
      </c>
      <c r="I11" s="130"/>
      <c r="J11" s="33" t="s">
        <v>42</v>
      </c>
      <c r="K11" s="128">
        <v>12965.0</v>
      </c>
      <c r="L11" s="119" t="s">
        <v>146</v>
      </c>
      <c r="M11" s="120" t="s">
        <v>147</v>
      </c>
      <c r="N11" s="33" t="s">
        <v>56</v>
      </c>
      <c r="O11" s="120" t="s">
        <v>148</v>
      </c>
      <c r="P11" s="114">
        <v>626871.0</v>
      </c>
      <c r="Q11" s="114">
        <f t="shared" si="3"/>
        <v>8</v>
      </c>
      <c r="R11" s="129"/>
      <c r="S11" s="123">
        <v>45565.0</v>
      </c>
      <c r="T11" s="59"/>
      <c r="U11" s="124">
        <f t="shared" si="1"/>
        <v>89.31506849</v>
      </c>
      <c r="V11" s="125">
        <f t="shared" si="2"/>
        <v>91.10410959</v>
      </c>
      <c r="W11" s="112"/>
      <c r="X11" s="112"/>
      <c r="Y11" s="59"/>
      <c r="Z11" s="59"/>
    </row>
    <row r="12" ht="33.75" customHeight="1">
      <c r="A12" s="113" t="s">
        <v>25</v>
      </c>
      <c r="B12" s="114" t="s">
        <v>53</v>
      </c>
      <c r="C12" s="127" t="s">
        <v>54</v>
      </c>
      <c r="D12" s="33" t="s">
        <v>40</v>
      </c>
      <c r="E12" s="115" t="s">
        <v>30</v>
      </c>
      <c r="F12" s="115" t="s">
        <v>29</v>
      </c>
      <c r="G12" s="115" t="s">
        <v>30</v>
      </c>
      <c r="H12" s="33" t="s">
        <v>41</v>
      </c>
      <c r="I12" s="130"/>
      <c r="J12" s="33" t="s">
        <v>42</v>
      </c>
      <c r="K12" s="128">
        <v>17434.0</v>
      </c>
      <c r="L12" s="131"/>
      <c r="M12" s="120" t="s">
        <v>55</v>
      </c>
      <c r="N12" s="33" t="s">
        <v>56</v>
      </c>
      <c r="O12" s="120" t="s">
        <v>50</v>
      </c>
      <c r="P12" s="117">
        <v>600790.0</v>
      </c>
      <c r="Q12" s="114">
        <f t="shared" si="3"/>
        <v>9</v>
      </c>
      <c r="R12" s="129"/>
      <c r="S12" s="123">
        <v>45565.0</v>
      </c>
      <c r="T12" s="59"/>
      <c r="U12" s="124">
        <f t="shared" si="1"/>
        <v>77.07123288</v>
      </c>
      <c r="V12" s="125">
        <f t="shared" si="2"/>
        <v>78.86027397</v>
      </c>
      <c r="W12" s="112"/>
      <c r="X12" s="112"/>
      <c r="Y12" s="59"/>
      <c r="Z12" s="59"/>
    </row>
    <row r="13" ht="33.75" customHeight="1">
      <c r="A13" s="113" t="s">
        <v>25</v>
      </c>
      <c r="B13" s="114" t="s">
        <v>53</v>
      </c>
      <c r="C13" s="115" t="s">
        <v>39</v>
      </c>
      <c r="D13" s="33" t="s">
        <v>40</v>
      </c>
      <c r="E13" s="115" t="s">
        <v>30</v>
      </c>
      <c r="F13" s="115" t="s">
        <v>29</v>
      </c>
      <c r="G13" s="115" t="s">
        <v>30</v>
      </c>
      <c r="H13" s="33" t="s">
        <v>41</v>
      </c>
      <c r="I13" s="132" t="s">
        <v>150</v>
      </c>
      <c r="J13" s="33" t="s">
        <v>42</v>
      </c>
      <c r="K13" s="118">
        <v>26988.0</v>
      </c>
      <c r="L13" s="119" t="s">
        <v>151</v>
      </c>
      <c r="M13" s="120" t="s">
        <v>148</v>
      </c>
      <c r="N13" s="33" t="s">
        <v>35</v>
      </c>
      <c r="O13" s="120" t="s">
        <v>152</v>
      </c>
      <c r="P13" s="114">
        <v>629430.0</v>
      </c>
      <c r="Q13" s="114">
        <f t="shared" si="3"/>
        <v>10</v>
      </c>
      <c r="R13" s="122"/>
      <c r="S13" s="123">
        <v>45565.0</v>
      </c>
      <c r="T13" s="59"/>
      <c r="U13" s="124">
        <f t="shared" si="1"/>
        <v>50.89589041</v>
      </c>
      <c r="V13" s="125">
        <f t="shared" si="2"/>
        <v>52.68493151</v>
      </c>
      <c r="W13" s="108"/>
      <c r="X13" s="112"/>
      <c r="Y13" s="59"/>
      <c r="Z13" s="59"/>
    </row>
    <row r="14" ht="33.75" customHeight="1">
      <c r="A14" s="113" t="s">
        <v>25</v>
      </c>
      <c r="B14" s="133"/>
      <c r="C14" s="134" t="s">
        <v>76</v>
      </c>
      <c r="D14" s="33" t="s">
        <v>40</v>
      </c>
      <c r="E14" s="115" t="s">
        <v>30</v>
      </c>
      <c r="F14" s="115" t="s">
        <v>29</v>
      </c>
      <c r="G14" s="115" t="s">
        <v>30</v>
      </c>
      <c r="H14" s="33" t="s">
        <v>154</v>
      </c>
      <c r="I14" s="135" t="s">
        <v>155</v>
      </c>
      <c r="J14" s="33" t="s">
        <v>42</v>
      </c>
      <c r="K14" s="118">
        <v>29319.0</v>
      </c>
      <c r="L14" s="119" t="s">
        <v>156</v>
      </c>
      <c r="M14" s="120" t="s">
        <v>157</v>
      </c>
      <c r="N14" s="33" t="s">
        <v>35</v>
      </c>
      <c r="O14" s="120" t="s">
        <v>158</v>
      </c>
      <c r="P14" s="114">
        <v>73236.0</v>
      </c>
      <c r="Q14" s="114">
        <f t="shared" si="3"/>
        <v>11</v>
      </c>
      <c r="R14" s="122"/>
      <c r="S14" s="123">
        <v>45565.0</v>
      </c>
      <c r="T14" s="59"/>
      <c r="U14" s="124">
        <f t="shared" si="1"/>
        <v>44.50958904</v>
      </c>
      <c r="V14" s="125">
        <f t="shared" si="2"/>
        <v>46.29863014</v>
      </c>
      <c r="W14" s="108"/>
      <c r="X14" s="112"/>
      <c r="Y14" s="59"/>
      <c r="Z14" s="59"/>
    </row>
    <row r="15" ht="33.75" customHeight="1">
      <c r="A15" s="113" t="s">
        <v>25</v>
      </c>
      <c r="B15" s="114" t="s">
        <v>53</v>
      </c>
      <c r="C15" s="127" t="s">
        <v>54</v>
      </c>
      <c r="D15" s="33" t="s">
        <v>40</v>
      </c>
      <c r="E15" s="115" t="s">
        <v>30</v>
      </c>
      <c r="F15" s="115" t="s">
        <v>29</v>
      </c>
      <c r="G15" s="115" t="s">
        <v>30</v>
      </c>
      <c r="H15" s="33" t="s">
        <v>48</v>
      </c>
      <c r="I15" s="130"/>
      <c r="J15" s="33" t="s">
        <v>42</v>
      </c>
      <c r="K15" s="128">
        <v>23484.0</v>
      </c>
      <c r="L15" s="119" t="s">
        <v>205</v>
      </c>
      <c r="M15" s="120" t="s">
        <v>206</v>
      </c>
      <c r="N15" s="33" t="s">
        <v>56</v>
      </c>
      <c r="O15" s="120" t="s">
        <v>207</v>
      </c>
      <c r="P15" s="114">
        <v>629439.0</v>
      </c>
      <c r="Q15" s="114">
        <f t="shared" si="3"/>
        <v>12</v>
      </c>
      <c r="R15" s="129"/>
      <c r="S15" s="123">
        <v>45565.0</v>
      </c>
      <c r="T15" s="59"/>
      <c r="U15" s="124">
        <f t="shared" si="1"/>
        <v>60.49589041</v>
      </c>
      <c r="V15" s="125">
        <f t="shared" si="2"/>
        <v>62.28493151</v>
      </c>
      <c r="W15" s="112"/>
      <c r="X15" s="112"/>
      <c r="Y15" s="59"/>
      <c r="Z15" s="59"/>
    </row>
    <row r="16" ht="33.75" customHeight="1">
      <c r="A16" s="113" t="s">
        <v>25</v>
      </c>
      <c r="B16" s="114" t="s">
        <v>75</v>
      </c>
      <c r="C16" s="115" t="s">
        <v>39</v>
      </c>
      <c r="D16" s="33" t="s">
        <v>40</v>
      </c>
      <c r="E16" s="115" t="s">
        <v>30</v>
      </c>
      <c r="F16" s="115" t="s">
        <v>29</v>
      </c>
      <c r="G16" s="115" t="s">
        <v>30</v>
      </c>
      <c r="H16" s="33" t="s">
        <v>41</v>
      </c>
      <c r="I16" s="130"/>
      <c r="J16" s="33" t="s">
        <v>42</v>
      </c>
      <c r="K16" s="118">
        <v>29895.0</v>
      </c>
      <c r="L16" s="119" t="s">
        <v>160</v>
      </c>
      <c r="M16" s="120" t="s">
        <v>161</v>
      </c>
      <c r="N16" s="33" t="s">
        <v>35</v>
      </c>
      <c r="O16" s="120" t="s">
        <v>162</v>
      </c>
      <c r="P16" s="114">
        <v>698781.0</v>
      </c>
      <c r="Q16" s="114">
        <f t="shared" si="3"/>
        <v>13</v>
      </c>
      <c r="R16" s="129"/>
      <c r="S16" s="123">
        <v>45565.0</v>
      </c>
      <c r="T16" s="59"/>
      <c r="U16" s="124">
        <f t="shared" si="1"/>
        <v>42.93150685</v>
      </c>
      <c r="V16" s="125">
        <f t="shared" si="2"/>
        <v>44.72054795</v>
      </c>
      <c r="W16" s="108"/>
      <c r="X16" s="112"/>
      <c r="Y16" s="59"/>
      <c r="Z16" s="59"/>
    </row>
    <row r="17" ht="33.75" customHeight="1">
      <c r="A17" s="113" t="s">
        <v>25</v>
      </c>
      <c r="B17" s="114" t="s">
        <v>27</v>
      </c>
      <c r="C17" s="127" t="s">
        <v>54</v>
      </c>
      <c r="D17" s="33" t="s">
        <v>40</v>
      </c>
      <c r="E17" s="115" t="s">
        <v>30</v>
      </c>
      <c r="F17" s="115" t="s">
        <v>29</v>
      </c>
      <c r="G17" s="115" t="s">
        <v>30</v>
      </c>
      <c r="H17" s="33" t="s">
        <v>48</v>
      </c>
      <c r="I17" s="116" t="s">
        <v>164</v>
      </c>
      <c r="J17" s="33" t="s">
        <v>42</v>
      </c>
      <c r="K17" s="118">
        <v>21551.0</v>
      </c>
      <c r="L17" s="119" t="s">
        <v>165</v>
      </c>
      <c r="M17" s="120" t="s">
        <v>80</v>
      </c>
      <c r="N17" s="33" t="s">
        <v>56</v>
      </c>
      <c r="O17" s="120" t="s">
        <v>166</v>
      </c>
      <c r="P17" s="114">
        <v>697260.0</v>
      </c>
      <c r="Q17" s="114">
        <f t="shared" si="3"/>
        <v>14</v>
      </c>
      <c r="R17" s="122"/>
      <c r="S17" s="123">
        <v>45565.0</v>
      </c>
      <c r="T17" s="59"/>
      <c r="U17" s="124">
        <f t="shared" si="1"/>
        <v>65.79178082</v>
      </c>
      <c r="V17" s="125">
        <f t="shared" si="2"/>
        <v>67.58082192</v>
      </c>
      <c r="W17" s="112"/>
      <c r="X17" s="112"/>
      <c r="Y17" s="59"/>
      <c r="Z17" s="59"/>
    </row>
    <row r="18" ht="33.75" customHeight="1">
      <c r="A18" s="113" t="s">
        <v>25</v>
      </c>
      <c r="B18" s="114" t="s">
        <v>27</v>
      </c>
      <c r="C18" s="127" t="s">
        <v>54</v>
      </c>
      <c r="D18" s="33" t="s">
        <v>40</v>
      </c>
      <c r="E18" s="115" t="s">
        <v>30</v>
      </c>
      <c r="F18" s="115" t="s">
        <v>29</v>
      </c>
      <c r="G18" s="115" t="s">
        <v>30</v>
      </c>
      <c r="H18" s="136" t="s">
        <v>58</v>
      </c>
      <c r="I18" s="130"/>
      <c r="J18" s="33" t="s">
        <v>42</v>
      </c>
      <c r="K18" s="128">
        <v>20261.0</v>
      </c>
      <c r="L18" s="119" t="s">
        <v>59</v>
      </c>
      <c r="M18" s="120" t="s">
        <v>60</v>
      </c>
      <c r="N18" s="33" t="s">
        <v>56</v>
      </c>
      <c r="O18" s="120" t="s">
        <v>61</v>
      </c>
      <c r="P18" s="114">
        <v>696347.0</v>
      </c>
      <c r="Q18" s="114">
        <f t="shared" si="3"/>
        <v>15</v>
      </c>
      <c r="R18" s="129"/>
      <c r="S18" s="123">
        <v>45565.0</v>
      </c>
      <c r="T18" s="59"/>
      <c r="U18" s="124">
        <f t="shared" si="1"/>
        <v>69.3260274</v>
      </c>
      <c r="V18" s="125">
        <f t="shared" si="2"/>
        <v>71.11506849</v>
      </c>
      <c r="W18" s="112"/>
      <c r="X18" s="112"/>
      <c r="Y18" s="59"/>
      <c r="Z18" s="59"/>
    </row>
    <row r="19" ht="33.75" customHeight="1">
      <c r="A19" s="113" t="s">
        <v>25</v>
      </c>
      <c r="B19" s="117" t="s">
        <v>168</v>
      </c>
      <c r="C19" s="115" t="s">
        <v>39</v>
      </c>
      <c r="D19" s="33" t="s">
        <v>40</v>
      </c>
      <c r="E19" s="115" t="s">
        <v>30</v>
      </c>
      <c r="F19" s="115" t="s">
        <v>29</v>
      </c>
      <c r="G19" s="115" t="s">
        <v>30</v>
      </c>
      <c r="H19" s="33" t="s">
        <v>41</v>
      </c>
      <c r="I19" s="130"/>
      <c r="J19" s="33" t="s">
        <v>42</v>
      </c>
      <c r="K19" s="128">
        <v>27784.0</v>
      </c>
      <c r="L19" s="119" t="s">
        <v>169</v>
      </c>
      <c r="M19" s="120" t="s">
        <v>170</v>
      </c>
      <c r="N19" s="33" t="s">
        <v>35</v>
      </c>
      <c r="O19" s="120" t="s">
        <v>171</v>
      </c>
      <c r="P19" s="114">
        <v>697262.0</v>
      </c>
      <c r="Q19" s="114">
        <f t="shared" si="3"/>
        <v>16</v>
      </c>
      <c r="R19" s="129"/>
      <c r="S19" s="123">
        <v>45565.0</v>
      </c>
      <c r="T19" s="59"/>
      <c r="U19" s="124">
        <f t="shared" si="1"/>
        <v>48.71506849</v>
      </c>
      <c r="V19" s="125">
        <f t="shared" si="2"/>
        <v>50.50410959</v>
      </c>
      <c r="W19" s="108"/>
      <c r="X19" s="112"/>
      <c r="Y19" s="59"/>
      <c r="Z19" s="59"/>
    </row>
    <row r="20" ht="33.75" customHeight="1">
      <c r="A20" s="113" t="s">
        <v>25</v>
      </c>
      <c r="B20" s="114" t="s">
        <v>53</v>
      </c>
      <c r="C20" s="127" t="s">
        <v>54</v>
      </c>
      <c r="D20" s="33" t="s">
        <v>40</v>
      </c>
      <c r="E20" s="115" t="s">
        <v>30</v>
      </c>
      <c r="F20" s="115" t="s">
        <v>29</v>
      </c>
      <c r="G20" s="115" t="s">
        <v>30</v>
      </c>
      <c r="H20" s="33" t="s">
        <v>63</v>
      </c>
      <c r="I20" s="116" t="s">
        <v>64</v>
      </c>
      <c r="J20" s="33" t="s">
        <v>42</v>
      </c>
      <c r="K20" s="128">
        <v>19786.0</v>
      </c>
      <c r="L20" s="119" t="s">
        <v>65</v>
      </c>
      <c r="M20" s="120" t="s">
        <v>66</v>
      </c>
      <c r="N20" s="33" t="s">
        <v>56</v>
      </c>
      <c r="O20" s="120" t="s">
        <v>67</v>
      </c>
      <c r="P20" s="114">
        <v>633185.0</v>
      </c>
      <c r="Q20" s="114">
        <f t="shared" si="3"/>
        <v>17</v>
      </c>
      <c r="R20" s="122"/>
      <c r="S20" s="123">
        <v>45565.0</v>
      </c>
      <c r="T20" s="59"/>
      <c r="U20" s="124">
        <f t="shared" si="1"/>
        <v>70.62739726</v>
      </c>
      <c r="V20" s="125">
        <f t="shared" si="2"/>
        <v>72.41643836</v>
      </c>
      <c r="W20" s="112"/>
      <c r="X20" s="112"/>
      <c r="Y20" s="59"/>
      <c r="Z20" s="59"/>
    </row>
    <row r="21" ht="33.75" customHeight="1">
      <c r="A21" s="113" t="s">
        <v>25</v>
      </c>
      <c r="B21" s="114" t="s">
        <v>69</v>
      </c>
      <c r="C21" s="115" t="s">
        <v>39</v>
      </c>
      <c r="D21" s="33" t="s">
        <v>40</v>
      </c>
      <c r="E21" s="115" t="s">
        <v>30</v>
      </c>
      <c r="F21" s="115" t="s">
        <v>29</v>
      </c>
      <c r="G21" s="115" t="s">
        <v>30</v>
      </c>
      <c r="H21" s="33" t="s">
        <v>48</v>
      </c>
      <c r="I21" s="132" t="s">
        <v>70</v>
      </c>
      <c r="J21" s="33" t="s">
        <v>42</v>
      </c>
      <c r="K21" s="128">
        <v>23531.0</v>
      </c>
      <c r="L21" s="119" t="s">
        <v>71</v>
      </c>
      <c r="M21" s="120" t="s">
        <v>72</v>
      </c>
      <c r="N21" s="33" t="s">
        <v>56</v>
      </c>
      <c r="O21" s="120" t="s">
        <v>73</v>
      </c>
      <c r="P21" s="114">
        <v>626887.0</v>
      </c>
      <c r="Q21" s="114">
        <f t="shared" si="3"/>
        <v>18</v>
      </c>
      <c r="R21" s="122"/>
      <c r="S21" s="123">
        <v>45565.0</v>
      </c>
      <c r="T21" s="59"/>
      <c r="U21" s="124">
        <f t="shared" si="1"/>
        <v>60.36712329</v>
      </c>
      <c r="V21" s="125">
        <f t="shared" si="2"/>
        <v>62.15616438</v>
      </c>
      <c r="W21" s="112"/>
      <c r="X21" s="112"/>
      <c r="Y21" s="59"/>
      <c r="Z21" s="59"/>
    </row>
    <row r="22" ht="33.75" customHeight="1">
      <c r="A22" s="113" t="s">
        <v>25</v>
      </c>
      <c r="B22" s="114" t="s">
        <v>27</v>
      </c>
      <c r="C22" s="127" t="s">
        <v>54</v>
      </c>
      <c r="D22" s="33" t="s">
        <v>40</v>
      </c>
      <c r="E22" s="115" t="s">
        <v>30</v>
      </c>
      <c r="F22" s="115" t="s">
        <v>29</v>
      </c>
      <c r="G22" s="115" t="s">
        <v>30</v>
      </c>
      <c r="H22" s="33" t="s">
        <v>48</v>
      </c>
      <c r="I22" s="130"/>
      <c r="J22" s="33" t="s">
        <v>42</v>
      </c>
      <c r="K22" s="118">
        <v>19299.0</v>
      </c>
      <c r="L22" s="119" t="s">
        <v>173</v>
      </c>
      <c r="M22" s="120" t="s">
        <v>174</v>
      </c>
      <c r="N22" s="33" t="s">
        <v>56</v>
      </c>
      <c r="O22" s="120" t="s">
        <v>175</v>
      </c>
      <c r="P22" s="114">
        <v>629414.0</v>
      </c>
      <c r="Q22" s="114">
        <f t="shared" si="3"/>
        <v>19</v>
      </c>
      <c r="R22" s="129"/>
      <c r="S22" s="123">
        <v>45565.0</v>
      </c>
      <c r="T22" s="59"/>
      <c r="U22" s="124">
        <f t="shared" si="1"/>
        <v>71.96164384</v>
      </c>
      <c r="V22" s="125">
        <f t="shared" si="2"/>
        <v>73.75068493</v>
      </c>
      <c r="W22" s="112"/>
      <c r="X22" s="112"/>
      <c r="Y22" s="59"/>
      <c r="Z22" s="59"/>
    </row>
    <row r="23" ht="33.75" customHeight="1">
      <c r="A23" s="113" t="s">
        <v>25</v>
      </c>
      <c r="B23" s="114" t="s">
        <v>47</v>
      </c>
      <c r="C23" s="115" t="s">
        <v>39</v>
      </c>
      <c r="D23" s="115" t="s">
        <v>29</v>
      </c>
      <c r="E23" s="115" t="s">
        <v>30</v>
      </c>
      <c r="F23" s="115" t="s">
        <v>29</v>
      </c>
      <c r="G23" s="115" t="s">
        <v>30</v>
      </c>
      <c r="H23" s="33" t="s">
        <v>63</v>
      </c>
      <c r="I23" s="135" t="s">
        <v>177</v>
      </c>
      <c r="J23" s="33" t="s">
        <v>42</v>
      </c>
      <c r="K23" s="128">
        <v>22526.0</v>
      </c>
      <c r="L23" s="137" t="s">
        <v>178</v>
      </c>
      <c r="M23" s="120" t="s">
        <v>179</v>
      </c>
      <c r="N23" s="33" t="s">
        <v>56</v>
      </c>
      <c r="O23" s="120" t="s">
        <v>180</v>
      </c>
      <c r="P23" s="114">
        <v>626872.0</v>
      </c>
      <c r="Q23" s="114">
        <f t="shared" si="3"/>
        <v>20</v>
      </c>
      <c r="R23" s="122"/>
      <c r="S23" s="123">
        <v>45565.0</v>
      </c>
      <c r="T23" s="59"/>
      <c r="U23" s="124">
        <f t="shared" si="1"/>
        <v>63.12054795</v>
      </c>
      <c r="V23" s="125">
        <f t="shared" si="2"/>
        <v>64.90958904</v>
      </c>
      <c r="W23" s="112"/>
      <c r="X23" s="112"/>
      <c r="Y23" s="59"/>
      <c r="Z23" s="59"/>
    </row>
    <row r="24" ht="33.75" customHeight="1">
      <c r="A24" s="138" t="s">
        <v>25</v>
      </c>
      <c r="B24" s="114" t="s">
        <v>27</v>
      </c>
      <c r="C24" s="127" t="s">
        <v>54</v>
      </c>
      <c r="D24" s="42" t="s">
        <v>40</v>
      </c>
      <c r="E24" s="115" t="s">
        <v>30</v>
      </c>
      <c r="F24" s="115" t="s">
        <v>29</v>
      </c>
      <c r="G24" s="115" t="s">
        <v>30</v>
      </c>
      <c r="H24" s="42" t="s">
        <v>48</v>
      </c>
      <c r="I24" s="139"/>
      <c r="J24" s="42" t="s">
        <v>42</v>
      </c>
      <c r="K24" s="140">
        <v>27546.0</v>
      </c>
      <c r="L24" s="137" t="s">
        <v>181</v>
      </c>
      <c r="M24" s="141" t="s">
        <v>182</v>
      </c>
      <c r="N24" s="42" t="s">
        <v>35</v>
      </c>
      <c r="O24" s="142" t="s">
        <v>183</v>
      </c>
      <c r="P24" s="138">
        <v>696346.0</v>
      </c>
      <c r="Q24" s="138">
        <f t="shared" si="3"/>
        <v>21</v>
      </c>
      <c r="R24" s="129"/>
      <c r="S24" s="123">
        <v>45565.0</v>
      </c>
      <c r="T24" s="59"/>
      <c r="U24" s="124">
        <f t="shared" si="1"/>
        <v>49.36712329</v>
      </c>
      <c r="V24" s="125">
        <f t="shared" si="2"/>
        <v>51.15616438</v>
      </c>
      <c r="W24" s="108"/>
      <c r="X24" s="112"/>
      <c r="Y24" s="59"/>
      <c r="Z24" s="59"/>
    </row>
    <row r="25" ht="33.75" customHeight="1">
      <c r="A25" s="138" t="s">
        <v>25</v>
      </c>
      <c r="B25" s="143" t="s">
        <v>75</v>
      </c>
      <c r="C25" s="134" t="s">
        <v>76</v>
      </c>
      <c r="D25" s="42" t="s">
        <v>40</v>
      </c>
      <c r="E25" s="115" t="s">
        <v>30</v>
      </c>
      <c r="F25" s="115" t="s">
        <v>29</v>
      </c>
      <c r="G25" s="115" t="s">
        <v>30</v>
      </c>
      <c r="H25" s="42" t="s">
        <v>41</v>
      </c>
      <c r="I25" s="135" t="s">
        <v>77</v>
      </c>
      <c r="J25" s="42" t="s">
        <v>42</v>
      </c>
      <c r="K25" s="144">
        <v>30189.0</v>
      </c>
      <c r="L25" s="137" t="s">
        <v>78</v>
      </c>
      <c r="M25" s="141" t="s">
        <v>79</v>
      </c>
      <c r="N25" s="42" t="s">
        <v>35</v>
      </c>
      <c r="O25" s="142" t="s">
        <v>80</v>
      </c>
      <c r="P25" s="121">
        <v>699653.0</v>
      </c>
      <c r="Q25" s="138">
        <f t="shared" si="3"/>
        <v>22</v>
      </c>
      <c r="R25" s="122"/>
      <c r="S25" s="123">
        <v>45565.0</v>
      </c>
      <c r="T25" s="59"/>
      <c r="U25" s="124">
        <f t="shared" si="1"/>
        <v>42.1260274</v>
      </c>
      <c r="V25" s="125">
        <f t="shared" si="2"/>
        <v>43.91506849</v>
      </c>
      <c r="W25" s="108"/>
      <c r="X25" s="112"/>
      <c r="Y25" s="59"/>
      <c r="Z25" s="59"/>
    </row>
    <row r="26" ht="33.75" customHeight="1">
      <c r="A26" s="138" t="s">
        <v>25</v>
      </c>
      <c r="B26" s="114" t="s">
        <v>27</v>
      </c>
      <c r="C26" s="115" t="s">
        <v>39</v>
      </c>
      <c r="D26" s="42" t="s">
        <v>40</v>
      </c>
      <c r="E26" s="115" t="s">
        <v>30</v>
      </c>
      <c r="F26" s="115" t="s">
        <v>29</v>
      </c>
      <c r="G26" s="115" t="s">
        <v>30</v>
      </c>
      <c r="H26" s="42" t="s">
        <v>41</v>
      </c>
      <c r="I26" s="139"/>
      <c r="J26" s="42" t="s">
        <v>42</v>
      </c>
      <c r="K26" s="140">
        <v>26665.0</v>
      </c>
      <c r="L26" s="145" t="s">
        <v>82</v>
      </c>
      <c r="M26" s="146" t="s">
        <v>83</v>
      </c>
      <c r="N26" s="42" t="s">
        <v>35</v>
      </c>
      <c r="O26" s="142" t="s">
        <v>84</v>
      </c>
      <c r="P26" s="143">
        <v>632609.0</v>
      </c>
      <c r="Q26" s="138">
        <f t="shared" si="3"/>
        <v>23</v>
      </c>
      <c r="R26" s="129"/>
      <c r="S26" s="123">
        <v>45565.0</v>
      </c>
      <c r="T26" s="59"/>
      <c r="U26" s="124">
        <f t="shared" si="1"/>
        <v>51.78082192</v>
      </c>
      <c r="V26" s="125">
        <f t="shared" si="2"/>
        <v>53.56986301</v>
      </c>
      <c r="W26" s="108"/>
      <c r="X26" s="112"/>
      <c r="Y26" s="59"/>
      <c r="Z26" s="59"/>
    </row>
    <row r="27" ht="33.75" customHeight="1">
      <c r="A27" s="138" t="s">
        <v>25</v>
      </c>
      <c r="B27" s="114" t="s">
        <v>27</v>
      </c>
      <c r="C27" s="115" t="s">
        <v>39</v>
      </c>
      <c r="D27" s="42" t="s">
        <v>40</v>
      </c>
      <c r="E27" s="115" t="s">
        <v>30</v>
      </c>
      <c r="F27" s="115" t="s">
        <v>29</v>
      </c>
      <c r="G27" s="115" t="s">
        <v>30</v>
      </c>
      <c r="H27" s="42" t="s">
        <v>41</v>
      </c>
      <c r="I27" s="135" t="s">
        <v>185</v>
      </c>
      <c r="J27" s="42" t="s">
        <v>42</v>
      </c>
      <c r="K27" s="140">
        <v>26511.0</v>
      </c>
      <c r="L27" s="147" t="s">
        <v>186</v>
      </c>
      <c r="M27" s="148" t="s">
        <v>187</v>
      </c>
      <c r="N27" s="42" t="s">
        <v>35</v>
      </c>
      <c r="O27" s="142" t="s">
        <v>188</v>
      </c>
      <c r="P27" s="121">
        <v>626847.0</v>
      </c>
      <c r="Q27" s="138">
        <f t="shared" si="3"/>
        <v>24</v>
      </c>
      <c r="R27" s="122"/>
      <c r="S27" s="123">
        <v>45565.0</v>
      </c>
      <c r="T27" s="59"/>
      <c r="U27" s="124">
        <f t="shared" si="1"/>
        <v>52.20273973</v>
      </c>
      <c r="V27" s="125">
        <f t="shared" si="2"/>
        <v>53.99178082</v>
      </c>
      <c r="W27" s="108"/>
      <c r="X27" s="112"/>
      <c r="Y27" s="59"/>
      <c r="Z27" s="59"/>
    </row>
    <row r="28" ht="33.75" customHeight="1">
      <c r="A28" s="138" t="s">
        <v>25</v>
      </c>
      <c r="B28" s="121" t="s">
        <v>53</v>
      </c>
      <c r="C28" s="134" t="s">
        <v>76</v>
      </c>
      <c r="D28" s="42" t="s">
        <v>40</v>
      </c>
      <c r="E28" s="115" t="s">
        <v>30</v>
      </c>
      <c r="F28" s="115" t="s">
        <v>29</v>
      </c>
      <c r="G28" s="115" t="s">
        <v>30</v>
      </c>
      <c r="H28" s="42" t="s">
        <v>31</v>
      </c>
      <c r="I28" s="135" t="s">
        <v>86</v>
      </c>
      <c r="J28" s="42" t="s">
        <v>42</v>
      </c>
      <c r="K28" s="140">
        <v>29543.0</v>
      </c>
      <c r="L28" s="137" t="s">
        <v>87</v>
      </c>
      <c r="M28" s="141" t="s">
        <v>88</v>
      </c>
      <c r="N28" s="42" t="s">
        <v>35</v>
      </c>
      <c r="O28" s="149" t="s">
        <v>89</v>
      </c>
      <c r="P28" s="121">
        <v>76290.0</v>
      </c>
      <c r="Q28" s="138">
        <f t="shared" si="3"/>
        <v>25</v>
      </c>
      <c r="R28" s="122"/>
      <c r="S28" s="123">
        <v>45565.0</v>
      </c>
      <c r="T28" s="59"/>
      <c r="U28" s="124">
        <f t="shared" si="1"/>
        <v>43.89589041</v>
      </c>
      <c r="V28" s="125">
        <f t="shared" si="2"/>
        <v>45.68493151</v>
      </c>
      <c r="W28" s="112"/>
      <c r="X28" s="112"/>
      <c r="Y28" s="59"/>
      <c r="Z28" s="59"/>
    </row>
    <row r="29" ht="33.75" customHeight="1">
      <c r="A29" s="138" t="s">
        <v>25</v>
      </c>
      <c r="B29" s="121" t="s">
        <v>27</v>
      </c>
      <c r="C29" s="134" t="s">
        <v>76</v>
      </c>
      <c r="D29" s="42" t="s">
        <v>40</v>
      </c>
      <c r="E29" s="115" t="s">
        <v>30</v>
      </c>
      <c r="F29" s="115" t="s">
        <v>29</v>
      </c>
      <c r="G29" s="115" t="s">
        <v>30</v>
      </c>
      <c r="H29" s="33" t="s">
        <v>48</v>
      </c>
      <c r="I29" s="139"/>
      <c r="J29" s="42" t="s">
        <v>42</v>
      </c>
      <c r="K29" s="140">
        <v>25571.0</v>
      </c>
      <c r="L29" s="147" t="s">
        <v>190</v>
      </c>
      <c r="M29" s="148" t="s">
        <v>191</v>
      </c>
      <c r="N29" s="42" t="s">
        <v>35</v>
      </c>
      <c r="O29" s="149" t="s">
        <v>192</v>
      </c>
      <c r="P29" s="121">
        <v>700623.0</v>
      </c>
      <c r="Q29" s="138">
        <f t="shared" si="3"/>
        <v>26</v>
      </c>
      <c r="R29" s="129"/>
      <c r="S29" s="123">
        <v>45565.0</v>
      </c>
      <c r="T29" s="59"/>
      <c r="U29" s="124">
        <f t="shared" si="1"/>
        <v>54.77808219</v>
      </c>
      <c r="V29" s="125">
        <f t="shared" si="2"/>
        <v>56.56712329</v>
      </c>
      <c r="W29" s="112"/>
      <c r="X29" s="112"/>
      <c r="Y29" s="59"/>
      <c r="Z29" s="59"/>
    </row>
    <row r="30" ht="33.75" customHeight="1">
      <c r="A30" s="138" t="s">
        <v>25</v>
      </c>
      <c r="B30" s="138" t="s">
        <v>47</v>
      </c>
      <c r="C30" s="134" t="s">
        <v>76</v>
      </c>
      <c r="D30" s="42" t="s">
        <v>40</v>
      </c>
      <c r="E30" s="115" t="s">
        <v>30</v>
      </c>
      <c r="F30" s="115" t="s">
        <v>29</v>
      </c>
      <c r="G30" s="115" t="s">
        <v>30</v>
      </c>
      <c r="H30" s="42" t="s">
        <v>31</v>
      </c>
      <c r="I30" s="150" t="s">
        <v>91</v>
      </c>
      <c r="J30" s="42" t="s">
        <v>42</v>
      </c>
      <c r="K30" s="140">
        <v>22937.0</v>
      </c>
      <c r="L30" s="147" t="s">
        <v>92</v>
      </c>
      <c r="M30" s="148" t="s">
        <v>93</v>
      </c>
      <c r="N30" s="42" t="s">
        <v>56</v>
      </c>
      <c r="O30" s="149" t="s">
        <v>94</v>
      </c>
      <c r="P30" s="143">
        <v>701872.0</v>
      </c>
      <c r="Q30" s="138">
        <f t="shared" si="3"/>
        <v>27</v>
      </c>
      <c r="R30" s="122"/>
      <c r="S30" s="123">
        <v>45565.0</v>
      </c>
      <c r="T30" s="59"/>
      <c r="U30" s="124">
        <f t="shared" si="1"/>
        <v>61.99452055</v>
      </c>
      <c r="V30" s="125">
        <f t="shared" si="2"/>
        <v>63.78356164</v>
      </c>
      <c r="W30" s="112"/>
      <c r="X30" s="108">
        <v>13.0</v>
      </c>
      <c r="Y30" s="59"/>
      <c r="Z30" s="59"/>
    </row>
    <row r="31" ht="33.75" customHeight="1">
      <c r="A31" s="138" t="s">
        <v>25</v>
      </c>
      <c r="B31" s="138" t="s">
        <v>47</v>
      </c>
      <c r="C31" s="134" t="s">
        <v>115</v>
      </c>
      <c r="D31" s="115" t="s">
        <v>29</v>
      </c>
      <c r="E31" s="115" t="s">
        <v>30</v>
      </c>
      <c r="F31" s="115" t="s">
        <v>29</v>
      </c>
      <c r="G31" s="115" t="s">
        <v>30</v>
      </c>
      <c r="H31" s="151" t="s">
        <v>116</v>
      </c>
      <c r="I31" s="150" t="s">
        <v>117</v>
      </c>
      <c r="J31" s="42" t="s">
        <v>42</v>
      </c>
      <c r="K31" s="152">
        <v>28888.0</v>
      </c>
      <c r="L31" s="137" t="s">
        <v>118</v>
      </c>
      <c r="M31" s="141" t="s">
        <v>119</v>
      </c>
      <c r="N31" s="42" t="s">
        <v>35</v>
      </c>
      <c r="O31" s="149" t="s">
        <v>120</v>
      </c>
      <c r="P31" s="143">
        <v>696463.0</v>
      </c>
      <c r="Q31" s="138">
        <f t="shared" si="3"/>
        <v>28</v>
      </c>
      <c r="R31" s="122"/>
      <c r="S31" s="123">
        <v>45565.0</v>
      </c>
      <c r="T31" s="59"/>
      <c r="U31" s="124">
        <f t="shared" si="1"/>
        <v>45.69041096</v>
      </c>
      <c r="V31" s="125">
        <f t="shared" si="2"/>
        <v>47.47945205</v>
      </c>
      <c r="W31" s="112"/>
      <c r="X31" s="108">
        <v>13.0</v>
      </c>
      <c r="Y31" s="59"/>
      <c r="Z31" s="59"/>
    </row>
    <row r="32" ht="33.0" customHeight="1">
      <c r="A32" s="113" t="s">
        <v>25</v>
      </c>
      <c r="B32" s="117" t="s">
        <v>53</v>
      </c>
      <c r="C32" s="127" t="s">
        <v>54</v>
      </c>
      <c r="D32" s="115" t="s">
        <v>40</v>
      </c>
      <c r="E32" s="115" t="s">
        <v>30</v>
      </c>
      <c r="F32" s="115" t="s">
        <v>29</v>
      </c>
      <c r="G32" s="115" t="s">
        <v>30</v>
      </c>
      <c r="H32" s="33" t="s">
        <v>31</v>
      </c>
      <c r="I32" s="33" t="s">
        <v>40</v>
      </c>
      <c r="J32" s="33" t="s">
        <v>42</v>
      </c>
      <c r="K32" s="128">
        <v>22922.0</v>
      </c>
      <c r="L32" s="119" t="s">
        <v>193</v>
      </c>
      <c r="M32" s="120" t="s">
        <v>194</v>
      </c>
      <c r="N32" s="33" t="s">
        <v>56</v>
      </c>
      <c r="O32" s="120" t="s">
        <v>195</v>
      </c>
      <c r="P32" s="121"/>
      <c r="Q32" s="138">
        <f t="shared" si="3"/>
        <v>29</v>
      </c>
      <c r="R32" s="122"/>
      <c r="S32" s="123">
        <v>45565.0</v>
      </c>
      <c r="T32" s="59"/>
      <c r="U32" s="124">
        <f t="shared" si="1"/>
        <v>62.03561644</v>
      </c>
      <c r="V32" s="125">
        <f t="shared" si="2"/>
        <v>63.82465753</v>
      </c>
      <c r="W32" s="112"/>
      <c r="X32" s="108">
        <v>13.0</v>
      </c>
      <c r="Y32" s="99"/>
      <c r="Z32" s="99"/>
    </row>
    <row r="33" ht="33.0" customHeight="1">
      <c r="A33" s="38" t="s">
        <v>25</v>
      </c>
      <c r="B33" s="153" t="s">
        <v>53</v>
      </c>
      <c r="C33" s="154" t="s">
        <v>54</v>
      </c>
      <c r="D33" s="155" t="s">
        <v>96</v>
      </c>
      <c r="E33" s="155" t="s">
        <v>97</v>
      </c>
      <c r="F33" s="155" t="s">
        <v>98</v>
      </c>
      <c r="G33" s="154" t="s">
        <v>30</v>
      </c>
      <c r="H33" s="156" t="s">
        <v>111</v>
      </c>
      <c r="I33" s="156" t="s">
        <v>40</v>
      </c>
      <c r="J33" s="156" t="s">
        <v>42</v>
      </c>
      <c r="K33" s="70">
        <v>18272.0</v>
      </c>
      <c r="L33" s="157" t="s">
        <v>197</v>
      </c>
      <c r="M33" s="158" t="s">
        <v>198</v>
      </c>
      <c r="N33" s="156" t="s">
        <v>56</v>
      </c>
      <c r="O33" s="158" t="s">
        <v>199</v>
      </c>
      <c r="P33" s="159"/>
      <c r="Q33" s="138">
        <f t="shared" si="3"/>
        <v>30</v>
      </c>
      <c r="R33" s="122"/>
      <c r="S33" s="123">
        <v>45565.0</v>
      </c>
      <c r="T33" s="59"/>
      <c r="U33" s="124">
        <f t="shared" si="1"/>
        <v>74.77534247</v>
      </c>
      <c r="V33" s="125">
        <f t="shared" si="2"/>
        <v>76.56438356</v>
      </c>
      <c r="W33" s="112"/>
      <c r="X33" s="108">
        <v>13.0</v>
      </c>
      <c r="Y33" s="99"/>
      <c r="Z33" s="99"/>
    </row>
    <row r="34" ht="33.0" customHeight="1">
      <c r="A34" s="38" t="s">
        <v>25</v>
      </c>
      <c r="B34" s="153" t="s">
        <v>53</v>
      </c>
      <c r="C34" s="134" t="s">
        <v>76</v>
      </c>
      <c r="D34" s="155" t="s">
        <v>96</v>
      </c>
      <c r="E34" s="155" t="s">
        <v>97</v>
      </c>
      <c r="F34" s="155" t="s">
        <v>98</v>
      </c>
      <c r="G34" s="154" t="s">
        <v>30</v>
      </c>
      <c r="H34" s="160" t="s">
        <v>99</v>
      </c>
      <c r="I34" s="150" t="s">
        <v>100</v>
      </c>
      <c r="J34" s="156" t="s">
        <v>42</v>
      </c>
      <c r="K34" s="140">
        <v>30033.0</v>
      </c>
      <c r="L34" s="161" t="s">
        <v>101</v>
      </c>
      <c r="M34" s="120" t="s">
        <v>50</v>
      </c>
      <c r="N34" s="42" t="s">
        <v>35</v>
      </c>
      <c r="O34" s="158" t="s">
        <v>102</v>
      </c>
      <c r="P34" s="159"/>
      <c r="Q34" s="138">
        <f t="shared" si="3"/>
        <v>31</v>
      </c>
      <c r="R34" s="122"/>
      <c r="S34" s="123">
        <v>45565.0</v>
      </c>
      <c r="T34" s="59"/>
      <c r="U34" s="124">
        <f t="shared" si="1"/>
        <v>42.55342466</v>
      </c>
      <c r="V34" s="125">
        <f t="shared" si="2"/>
        <v>44.34246575</v>
      </c>
      <c r="W34" s="112"/>
      <c r="X34" s="108">
        <v>13.0</v>
      </c>
      <c r="Y34" s="99"/>
      <c r="Z34" s="99"/>
    </row>
    <row r="35" ht="32.25" customHeight="1">
      <c r="A35" s="38" t="s">
        <v>25</v>
      </c>
      <c r="B35" s="153" t="s">
        <v>53</v>
      </c>
      <c r="C35" s="127" t="s">
        <v>54</v>
      </c>
      <c r="D35" s="155" t="s">
        <v>96</v>
      </c>
      <c r="E35" s="155" t="s">
        <v>97</v>
      </c>
      <c r="F35" s="155" t="s">
        <v>98</v>
      </c>
      <c r="G35" s="154" t="s">
        <v>30</v>
      </c>
      <c r="H35" s="160" t="s">
        <v>104</v>
      </c>
      <c r="I35" s="150" t="s">
        <v>105</v>
      </c>
      <c r="J35" s="156" t="s">
        <v>42</v>
      </c>
      <c r="K35" s="140">
        <v>13473.0</v>
      </c>
      <c r="L35" s="161" t="s">
        <v>106</v>
      </c>
      <c r="M35" s="158" t="s">
        <v>107</v>
      </c>
      <c r="N35" s="156" t="s">
        <v>56</v>
      </c>
      <c r="O35" s="158" t="s">
        <v>108</v>
      </c>
      <c r="P35" s="159"/>
      <c r="Q35" s="138">
        <f t="shared" si="3"/>
        <v>32</v>
      </c>
      <c r="R35" s="97"/>
      <c r="S35" s="39">
        <v>45565.0</v>
      </c>
      <c r="T35" s="59"/>
      <c r="U35" s="124">
        <f t="shared" si="1"/>
        <v>87.92328767</v>
      </c>
      <c r="V35" s="125">
        <f t="shared" si="2"/>
        <v>89.71232877</v>
      </c>
      <c r="W35" s="112"/>
      <c r="X35" s="108">
        <v>13.0</v>
      </c>
      <c r="Y35" s="99"/>
      <c r="Z35" s="99"/>
    </row>
    <row r="36" ht="39.0" customHeight="1">
      <c r="A36" s="38" t="s">
        <v>25</v>
      </c>
      <c r="B36" s="38" t="s">
        <v>47</v>
      </c>
      <c r="C36" s="42" t="s">
        <v>110</v>
      </c>
      <c r="D36" s="42" t="s">
        <v>96</v>
      </c>
      <c r="E36" s="42" t="s">
        <v>97</v>
      </c>
      <c r="F36" s="42" t="s">
        <v>98</v>
      </c>
      <c r="G36" s="42" t="s">
        <v>30</v>
      </c>
      <c r="H36" s="42" t="s">
        <v>111</v>
      </c>
      <c r="I36" s="54" t="s">
        <v>40</v>
      </c>
      <c r="J36" s="42" t="s">
        <v>42</v>
      </c>
      <c r="K36" s="55">
        <v>20090.0</v>
      </c>
      <c r="L36" s="36" t="s">
        <v>101</v>
      </c>
      <c r="M36" s="48" t="s">
        <v>112</v>
      </c>
      <c r="N36" s="42" t="s">
        <v>56</v>
      </c>
      <c r="O36" s="48" t="s">
        <v>113</v>
      </c>
      <c r="P36" s="56"/>
      <c r="Q36" s="138">
        <f t="shared" si="3"/>
        <v>33</v>
      </c>
      <c r="R36" s="97"/>
      <c r="S36" s="39">
        <v>45565.0</v>
      </c>
      <c r="T36" s="99"/>
      <c r="U36" s="124">
        <f t="shared" si="1"/>
        <v>69.79452055</v>
      </c>
      <c r="V36" s="125">
        <f t="shared" si="2"/>
        <v>71.58356164</v>
      </c>
      <c r="W36" s="99"/>
      <c r="X36" s="99"/>
      <c r="Y36" s="99"/>
      <c r="Z36" s="99"/>
    </row>
    <row r="37">
      <c r="A37" s="91"/>
      <c r="B37" s="91"/>
      <c r="C37" s="91"/>
      <c r="D37" s="91"/>
      <c r="E37" s="91"/>
      <c r="F37" s="91"/>
      <c r="G37" s="91"/>
      <c r="H37" s="91"/>
      <c r="I37" s="162"/>
      <c r="J37" s="91"/>
      <c r="K37" s="98"/>
      <c r="L37" s="163"/>
      <c r="M37" s="91"/>
      <c r="N37" s="91"/>
      <c r="O37" s="91"/>
      <c r="P37" s="91"/>
      <c r="Q37" s="91"/>
      <c r="R37" s="97"/>
      <c r="S37" s="98"/>
      <c r="T37" s="99"/>
      <c r="U37" s="99"/>
      <c r="V37" s="99"/>
      <c r="W37" s="99"/>
      <c r="X37" s="99"/>
      <c r="Y37" s="99"/>
      <c r="Z37" s="99"/>
    </row>
    <row r="38">
      <c r="A38" s="91"/>
      <c r="B38" s="91"/>
      <c r="C38" s="91"/>
      <c r="D38" s="91"/>
      <c r="E38" s="91"/>
      <c r="F38" s="91"/>
      <c r="G38" s="91"/>
      <c r="H38" s="91"/>
      <c r="I38" s="162"/>
      <c r="J38" s="91"/>
      <c r="K38" s="98"/>
      <c r="L38" s="163"/>
      <c r="M38" s="91"/>
      <c r="N38" s="91"/>
      <c r="O38" s="91"/>
      <c r="P38" s="91"/>
      <c r="Q38" s="91"/>
      <c r="R38" s="97"/>
      <c r="S38" s="98"/>
      <c r="T38" s="99"/>
      <c r="U38" s="99"/>
      <c r="V38" s="99"/>
      <c r="W38" s="99"/>
      <c r="X38" s="99"/>
      <c r="Y38" s="99"/>
      <c r="Z38" s="99"/>
    </row>
    <row r="39">
      <c r="A39" s="91"/>
      <c r="B39" s="91"/>
      <c r="C39" s="164"/>
      <c r="D39" s="25"/>
      <c r="E39" s="25"/>
      <c r="F39" s="25"/>
      <c r="G39" s="91"/>
      <c r="H39" s="165" t="s">
        <v>200</v>
      </c>
      <c r="K39" s="98"/>
      <c r="L39" s="163"/>
      <c r="M39" s="164"/>
      <c r="N39" s="25"/>
      <c r="O39" s="165" t="s">
        <v>201</v>
      </c>
      <c r="R39" s="97"/>
      <c r="S39" s="98"/>
      <c r="T39" s="99"/>
      <c r="U39" s="99"/>
      <c r="V39" s="99"/>
      <c r="W39" s="99"/>
      <c r="X39" s="99"/>
      <c r="Y39" s="99"/>
      <c r="Z39" s="99"/>
    </row>
    <row r="40">
      <c r="A40" s="91"/>
      <c r="B40" s="91"/>
      <c r="C40" s="91"/>
      <c r="D40" s="91"/>
      <c r="E40" s="91"/>
      <c r="F40" s="91"/>
      <c r="G40" s="91"/>
      <c r="H40" s="91"/>
      <c r="I40" s="91"/>
      <c r="J40" s="91"/>
      <c r="K40" s="98"/>
      <c r="L40" s="163"/>
      <c r="M40" s="91"/>
      <c r="N40" s="91"/>
      <c r="O40" s="91"/>
      <c r="P40" s="91"/>
      <c r="Q40" s="91"/>
      <c r="R40" s="97"/>
      <c r="S40" s="98"/>
      <c r="T40" s="99"/>
      <c r="U40" s="99"/>
      <c r="V40" s="99"/>
      <c r="W40" s="99"/>
      <c r="X40" s="99"/>
      <c r="Y40" s="99"/>
      <c r="Z40" s="99"/>
    </row>
    <row r="41">
      <c r="A41" s="91"/>
      <c r="B41" s="91"/>
      <c r="C41" s="91"/>
      <c r="D41" s="91"/>
      <c r="E41" s="91"/>
      <c r="F41" s="91"/>
      <c r="G41" s="91"/>
      <c r="H41" s="91"/>
      <c r="I41" s="162"/>
      <c r="J41" s="91"/>
      <c r="K41" s="98"/>
      <c r="L41" s="166"/>
      <c r="M41" s="167">
        <v>44865.0</v>
      </c>
      <c r="N41" s="25"/>
      <c r="O41" s="168" t="s">
        <v>202</v>
      </c>
      <c r="R41" s="97"/>
      <c r="S41" s="98"/>
      <c r="T41" s="99"/>
      <c r="U41" s="99"/>
      <c r="V41" s="99"/>
      <c r="W41" s="99"/>
      <c r="X41" s="99"/>
      <c r="Y41" s="99"/>
      <c r="Z41" s="99"/>
    </row>
  </sheetData>
  <mergeCells count="14">
    <mergeCell ref="D3:E3"/>
    <mergeCell ref="C39:F39"/>
    <mergeCell ref="H39:J39"/>
    <mergeCell ref="M39:N39"/>
    <mergeCell ref="O39:Q39"/>
    <mergeCell ref="M41:N41"/>
    <mergeCell ref="O41:Q41"/>
    <mergeCell ref="B1:D1"/>
    <mergeCell ref="E1:G1"/>
    <mergeCell ref="H1:I1"/>
    <mergeCell ref="J1:K1"/>
    <mergeCell ref="M1:N1"/>
    <mergeCell ref="O1:Q1"/>
    <mergeCell ref="F3:G3"/>
  </mergeCell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3" max="13" width="23.25"/>
    <col customWidth="1" min="15" max="15" width="24.38"/>
  </cols>
  <sheetData>
    <row r="1" ht="45.0" customHeight="1">
      <c r="A1" s="91"/>
      <c r="B1" s="92">
        <v>44865.0</v>
      </c>
      <c r="C1" s="4"/>
      <c r="D1" s="4"/>
      <c r="E1" s="93" t="s">
        <v>0</v>
      </c>
      <c r="H1" s="94" t="s">
        <v>1</v>
      </c>
      <c r="I1" s="4"/>
      <c r="J1" s="93" t="s">
        <v>2</v>
      </c>
      <c r="L1" s="95"/>
      <c r="M1" s="96" t="s">
        <v>3</v>
      </c>
      <c r="N1" s="4"/>
      <c r="O1" s="93" t="s">
        <v>4</v>
      </c>
      <c r="R1" s="97"/>
      <c r="S1" s="98"/>
      <c r="T1" s="99"/>
      <c r="U1" s="99"/>
      <c r="V1" s="99"/>
      <c r="W1" s="99"/>
      <c r="X1" s="99"/>
      <c r="Y1" s="99"/>
      <c r="Z1" s="99"/>
    </row>
    <row r="2">
      <c r="A2" s="100"/>
      <c r="B2" s="100"/>
      <c r="C2" s="100"/>
      <c r="D2" s="100"/>
      <c r="E2" s="100"/>
      <c r="F2" s="100"/>
      <c r="G2" s="100"/>
      <c r="H2" s="100"/>
      <c r="I2" s="101"/>
      <c r="J2" s="100"/>
      <c r="K2" s="102"/>
      <c r="L2" s="103"/>
      <c r="M2" s="100"/>
      <c r="N2" s="100"/>
      <c r="O2" s="100"/>
      <c r="P2" s="100"/>
      <c r="Q2" s="100"/>
      <c r="R2" s="104"/>
      <c r="S2" s="102"/>
    </row>
    <row r="3" ht="49.5" customHeight="1">
      <c r="A3" s="13" t="s">
        <v>5</v>
      </c>
      <c r="B3" s="105" t="s">
        <v>7</v>
      </c>
      <c r="C3" s="105" t="s">
        <v>8</v>
      </c>
      <c r="D3" s="106" t="s">
        <v>9</v>
      </c>
      <c r="E3" s="15"/>
      <c r="F3" s="106" t="s">
        <v>10</v>
      </c>
      <c r="G3" s="15"/>
      <c r="H3" s="105" t="s">
        <v>11</v>
      </c>
      <c r="I3" s="16" t="s">
        <v>12</v>
      </c>
      <c r="J3" s="13" t="s">
        <v>13</v>
      </c>
      <c r="K3" s="105" t="s">
        <v>14</v>
      </c>
      <c r="L3" s="105" t="s">
        <v>15</v>
      </c>
      <c r="M3" s="107" t="s">
        <v>16</v>
      </c>
      <c r="N3" s="105" t="s">
        <v>17</v>
      </c>
      <c r="O3" s="107" t="s">
        <v>18</v>
      </c>
      <c r="P3" s="105" t="s">
        <v>19</v>
      </c>
      <c r="Q3" s="105" t="s">
        <v>20</v>
      </c>
      <c r="R3" s="108"/>
      <c r="S3" s="109" t="s">
        <v>21</v>
      </c>
      <c r="T3" s="59"/>
      <c r="U3" s="110" t="s">
        <v>22</v>
      </c>
      <c r="V3" s="111" t="s">
        <v>23</v>
      </c>
      <c r="W3" s="112"/>
      <c r="X3" s="112"/>
      <c r="Y3" s="59"/>
      <c r="Z3" s="59"/>
    </row>
    <row r="4" ht="33.75" customHeight="1">
      <c r="A4" s="113" t="s">
        <v>25</v>
      </c>
      <c r="B4" s="114" t="s">
        <v>27</v>
      </c>
      <c r="C4" s="33" t="s">
        <v>28</v>
      </c>
      <c r="D4" s="115" t="s">
        <v>29</v>
      </c>
      <c r="E4" s="115" t="s">
        <v>30</v>
      </c>
      <c r="F4" s="115" t="s">
        <v>29</v>
      </c>
      <c r="G4" s="115" t="s">
        <v>30</v>
      </c>
      <c r="H4" s="33" t="s">
        <v>31</v>
      </c>
      <c r="I4" s="116" t="s">
        <v>32</v>
      </c>
      <c r="J4" s="117">
        <v>1994.0</v>
      </c>
      <c r="K4" s="118">
        <v>29758.0</v>
      </c>
      <c r="L4" s="119" t="s">
        <v>33</v>
      </c>
      <c r="M4" s="120" t="s">
        <v>34</v>
      </c>
      <c r="N4" s="33" t="s">
        <v>35</v>
      </c>
      <c r="O4" s="120" t="s">
        <v>36</v>
      </c>
      <c r="P4" s="121">
        <v>85855.0</v>
      </c>
      <c r="Q4" s="114">
        <v>1.0</v>
      </c>
      <c r="R4" s="122"/>
      <c r="S4" s="123">
        <v>45535.0</v>
      </c>
      <c r="T4" s="59"/>
      <c r="U4" s="124">
        <f t="shared" ref="U4:U35" si="1">(S4-K4)/365</f>
        <v>43.22465753</v>
      </c>
      <c r="V4" s="125">
        <f t="shared" ref="V4:V35" si="2">(TODAY()-K4)/365</f>
        <v>45.09589041</v>
      </c>
      <c r="W4" s="108"/>
      <c r="X4" s="112"/>
      <c r="Y4" s="59"/>
      <c r="Z4" s="59"/>
    </row>
    <row r="5" ht="33.75" customHeight="1">
      <c r="A5" s="113" t="s">
        <v>25</v>
      </c>
      <c r="B5" s="114" t="s">
        <v>47</v>
      </c>
      <c r="C5" s="115" t="s">
        <v>39</v>
      </c>
      <c r="D5" s="33" t="s">
        <v>40</v>
      </c>
      <c r="E5" s="115" t="s">
        <v>30</v>
      </c>
      <c r="F5" s="115" t="s">
        <v>29</v>
      </c>
      <c r="G5" s="115" t="s">
        <v>30</v>
      </c>
      <c r="H5" s="33" t="s">
        <v>41</v>
      </c>
      <c r="I5" s="126">
        <v>0.0</v>
      </c>
      <c r="J5" s="33" t="s">
        <v>42</v>
      </c>
      <c r="K5" s="118">
        <v>29102.0</v>
      </c>
      <c r="L5" s="119" t="s">
        <v>127</v>
      </c>
      <c r="M5" s="120" t="s">
        <v>128</v>
      </c>
      <c r="N5" s="33" t="s">
        <v>35</v>
      </c>
      <c r="O5" s="120" t="s">
        <v>129</v>
      </c>
      <c r="P5" s="114">
        <v>697263.0</v>
      </c>
      <c r="Q5" s="114">
        <f t="shared" ref="Q5:Q35" si="3">Q4+1</f>
        <v>2</v>
      </c>
      <c r="R5" s="122"/>
      <c r="S5" s="123">
        <v>45535.0</v>
      </c>
      <c r="T5" s="59"/>
      <c r="U5" s="124">
        <f t="shared" si="1"/>
        <v>45.02191781</v>
      </c>
      <c r="V5" s="125">
        <f t="shared" si="2"/>
        <v>46.89315068</v>
      </c>
      <c r="W5" s="108"/>
      <c r="X5" s="112"/>
      <c r="Y5" s="59"/>
      <c r="Z5" s="59"/>
    </row>
    <row r="6" ht="33.75" customHeight="1">
      <c r="A6" s="113" t="s">
        <v>25</v>
      </c>
      <c r="B6" s="114" t="s">
        <v>53</v>
      </c>
      <c r="C6" s="127" t="s">
        <v>54</v>
      </c>
      <c r="D6" s="115" t="s">
        <v>29</v>
      </c>
      <c r="E6" s="115" t="s">
        <v>30</v>
      </c>
      <c r="F6" s="115" t="s">
        <v>29</v>
      </c>
      <c r="G6" s="115" t="s">
        <v>30</v>
      </c>
      <c r="H6" s="33" t="s">
        <v>131</v>
      </c>
      <c r="I6" s="116" t="s">
        <v>132</v>
      </c>
      <c r="J6" s="33" t="s">
        <v>42</v>
      </c>
      <c r="K6" s="128">
        <v>17036.0</v>
      </c>
      <c r="L6" s="119" t="s">
        <v>133</v>
      </c>
      <c r="M6" s="120" t="s">
        <v>134</v>
      </c>
      <c r="N6" s="33" t="s">
        <v>56</v>
      </c>
      <c r="O6" s="120" t="s">
        <v>128</v>
      </c>
      <c r="P6" s="114">
        <v>633202.0</v>
      </c>
      <c r="Q6" s="114">
        <f t="shared" si="3"/>
        <v>3</v>
      </c>
      <c r="R6" s="122"/>
      <c r="S6" s="123">
        <v>45535.0</v>
      </c>
      <c r="T6" s="59"/>
      <c r="U6" s="124">
        <f t="shared" si="1"/>
        <v>78.07945205</v>
      </c>
      <c r="V6" s="125">
        <f t="shared" si="2"/>
        <v>79.95068493</v>
      </c>
      <c r="W6" s="112"/>
      <c r="X6" s="112"/>
      <c r="Y6" s="59"/>
      <c r="Z6" s="59"/>
    </row>
    <row r="7" ht="33.75" customHeight="1">
      <c r="A7" s="113" t="s">
        <v>37</v>
      </c>
      <c r="B7" s="114" t="s">
        <v>75</v>
      </c>
      <c r="C7" s="127" t="s">
        <v>54</v>
      </c>
      <c r="D7" s="33" t="s">
        <v>40</v>
      </c>
      <c r="E7" s="115" t="s">
        <v>30</v>
      </c>
      <c r="F7" s="115" t="s">
        <v>29</v>
      </c>
      <c r="G7" s="115" t="s">
        <v>30</v>
      </c>
      <c r="H7" s="33" t="s">
        <v>48</v>
      </c>
      <c r="I7" s="126">
        <v>0.0</v>
      </c>
      <c r="J7" s="33" t="s">
        <v>42</v>
      </c>
      <c r="K7" s="128">
        <v>19489.0</v>
      </c>
      <c r="L7" s="119" t="s">
        <v>136</v>
      </c>
      <c r="M7" s="120" t="s">
        <v>137</v>
      </c>
      <c r="N7" s="33" t="s">
        <v>56</v>
      </c>
      <c r="O7" s="120" t="s">
        <v>138</v>
      </c>
      <c r="P7" s="114">
        <v>690594.0</v>
      </c>
      <c r="Q7" s="114">
        <f t="shared" si="3"/>
        <v>4</v>
      </c>
      <c r="R7" s="129"/>
      <c r="S7" s="123">
        <v>45535.0</v>
      </c>
      <c r="T7" s="59"/>
      <c r="U7" s="124">
        <f t="shared" si="1"/>
        <v>71.35890411</v>
      </c>
      <c r="V7" s="125">
        <f t="shared" si="2"/>
        <v>73.23013699</v>
      </c>
      <c r="W7" s="112"/>
      <c r="X7" s="112"/>
      <c r="Y7" s="59"/>
      <c r="Z7" s="59"/>
    </row>
    <row r="8" ht="33.75" customHeight="1">
      <c r="A8" s="113" t="s">
        <v>37</v>
      </c>
      <c r="B8" s="114" t="s">
        <v>27</v>
      </c>
      <c r="C8" s="115" t="s">
        <v>39</v>
      </c>
      <c r="D8" s="33" t="s">
        <v>40</v>
      </c>
      <c r="E8" s="115" t="s">
        <v>30</v>
      </c>
      <c r="F8" s="115" t="s">
        <v>29</v>
      </c>
      <c r="G8" s="115" t="s">
        <v>30</v>
      </c>
      <c r="H8" s="33" t="s">
        <v>41</v>
      </c>
      <c r="I8" s="126">
        <v>0.0</v>
      </c>
      <c r="J8" s="33" t="s">
        <v>42</v>
      </c>
      <c r="K8" s="118">
        <v>26511.0</v>
      </c>
      <c r="L8" s="119" t="s">
        <v>43</v>
      </c>
      <c r="M8" s="120" t="s">
        <v>44</v>
      </c>
      <c r="N8" s="33" t="s">
        <v>35</v>
      </c>
      <c r="O8" s="120" t="s">
        <v>45</v>
      </c>
      <c r="P8" s="114">
        <v>629409.0</v>
      </c>
      <c r="Q8" s="114">
        <f t="shared" si="3"/>
        <v>5</v>
      </c>
      <c r="R8" s="129"/>
      <c r="S8" s="123">
        <v>45535.0</v>
      </c>
      <c r="T8" s="59"/>
      <c r="U8" s="124">
        <f t="shared" si="1"/>
        <v>52.12054795</v>
      </c>
      <c r="V8" s="125">
        <f t="shared" si="2"/>
        <v>53.99178082</v>
      </c>
      <c r="W8" s="108"/>
      <c r="X8" s="112"/>
      <c r="Y8" s="59"/>
      <c r="Z8" s="59"/>
    </row>
    <row r="9" ht="33.75" customHeight="1">
      <c r="A9" s="113" t="s">
        <v>37</v>
      </c>
      <c r="B9" s="114" t="s">
        <v>47</v>
      </c>
      <c r="C9" s="115" t="s">
        <v>39</v>
      </c>
      <c r="D9" s="33" t="s">
        <v>40</v>
      </c>
      <c r="E9" s="115" t="s">
        <v>30</v>
      </c>
      <c r="F9" s="115" t="s">
        <v>29</v>
      </c>
      <c r="G9" s="115" t="s">
        <v>30</v>
      </c>
      <c r="H9" s="33" t="s">
        <v>48</v>
      </c>
      <c r="I9" s="126">
        <v>0.0</v>
      </c>
      <c r="J9" s="33" t="s">
        <v>42</v>
      </c>
      <c r="K9" s="128">
        <v>27595.0</v>
      </c>
      <c r="L9" s="119" t="s">
        <v>49</v>
      </c>
      <c r="M9" s="120" t="s">
        <v>50</v>
      </c>
      <c r="N9" s="33" t="s">
        <v>35</v>
      </c>
      <c r="O9" s="120" t="s">
        <v>51</v>
      </c>
      <c r="P9" s="114">
        <v>691771.0</v>
      </c>
      <c r="Q9" s="114">
        <f t="shared" si="3"/>
        <v>6</v>
      </c>
      <c r="R9" s="129"/>
      <c r="S9" s="123">
        <v>45535.0</v>
      </c>
      <c r="T9" s="59"/>
      <c r="U9" s="124">
        <f t="shared" si="1"/>
        <v>49.15068493</v>
      </c>
      <c r="V9" s="125">
        <f t="shared" si="2"/>
        <v>51.02191781</v>
      </c>
      <c r="W9" s="108"/>
      <c r="X9" s="112"/>
      <c r="Y9" s="59"/>
      <c r="Z9" s="59"/>
    </row>
    <row r="10" ht="33.75" customHeight="1">
      <c r="A10" s="113" t="s">
        <v>25</v>
      </c>
      <c r="B10" s="114" t="s">
        <v>53</v>
      </c>
      <c r="C10" s="33" t="s">
        <v>140</v>
      </c>
      <c r="D10" s="33" t="s">
        <v>40</v>
      </c>
      <c r="E10" s="115" t="s">
        <v>30</v>
      </c>
      <c r="F10" s="115" t="s">
        <v>29</v>
      </c>
      <c r="G10" s="115" t="s">
        <v>30</v>
      </c>
      <c r="H10" s="33" t="s">
        <v>48</v>
      </c>
      <c r="I10" s="116" t="s">
        <v>141</v>
      </c>
      <c r="J10" s="33" t="s">
        <v>42</v>
      </c>
      <c r="K10" s="128">
        <v>21596.0</v>
      </c>
      <c r="L10" s="119" t="s">
        <v>142</v>
      </c>
      <c r="M10" s="120" t="s">
        <v>143</v>
      </c>
      <c r="N10" s="33" t="s">
        <v>56</v>
      </c>
      <c r="O10" s="120" t="s">
        <v>204</v>
      </c>
      <c r="P10" s="114">
        <v>600898.0</v>
      </c>
      <c r="Q10" s="114">
        <f t="shared" si="3"/>
        <v>7</v>
      </c>
      <c r="R10" s="122"/>
      <c r="S10" s="123">
        <v>45535.0</v>
      </c>
      <c r="T10" s="59"/>
      <c r="U10" s="124">
        <f t="shared" si="1"/>
        <v>65.58630137</v>
      </c>
      <c r="V10" s="125">
        <f t="shared" si="2"/>
        <v>67.45753425</v>
      </c>
      <c r="W10" s="112"/>
      <c r="X10" s="112"/>
      <c r="Y10" s="59"/>
      <c r="Z10" s="59"/>
    </row>
    <row r="11" ht="33.75" customHeight="1">
      <c r="A11" s="113" t="s">
        <v>25</v>
      </c>
      <c r="B11" s="114" t="s">
        <v>53</v>
      </c>
      <c r="C11" s="127" t="s">
        <v>54</v>
      </c>
      <c r="D11" s="115" t="s">
        <v>29</v>
      </c>
      <c r="E11" s="115" t="s">
        <v>30</v>
      </c>
      <c r="F11" s="115" t="s">
        <v>29</v>
      </c>
      <c r="G11" s="115" t="s">
        <v>30</v>
      </c>
      <c r="H11" s="33" t="s">
        <v>31</v>
      </c>
      <c r="I11" s="130"/>
      <c r="J11" s="33" t="s">
        <v>42</v>
      </c>
      <c r="K11" s="128">
        <v>12965.0</v>
      </c>
      <c r="L11" s="119" t="s">
        <v>146</v>
      </c>
      <c r="M11" s="120" t="s">
        <v>147</v>
      </c>
      <c r="N11" s="33" t="s">
        <v>56</v>
      </c>
      <c r="O11" s="120" t="s">
        <v>148</v>
      </c>
      <c r="P11" s="114">
        <v>626871.0</v>
      </c>
      <c r="Q11" s="114">
        <f t="shared" si="3"/>
        <v>8</v>
      </c>
      <c r="R11" s="129"/>
      <c r="S11" s="123">
        <v>45535.0</v>
      </c>
      <c r="T11" s="59"/>
      <c r="U11" s="124">
        <f t="shared" si="1"/>
        <v>89.23287671</v>
      </c>
      <c r="V11" s="125">
        <f t="shared" si="2"/>
        <v>91.10410959</v>
      </c>
      <c r="W11" s="112"/>
      <c r="X11" s="112"/>
      <c r="Y11" s="59"/>
      <c r="Z11" s="59"/>
    </row>
    <row r="12" ht="33.75" customHeight="1">
      <c r="A12" s="113" t="s">
        <v>25</v>
      </c>
      <c r="B12" s="114" t="s">
        <v>53</v>
      </c>
      <c r="C12" s="127" t="s">
        <v>54</v>
      </c>
      <c r="D12" s="33" t="s">
        <v>40</v>
      </c>
      <c r="E12" s="115" t="s">
        <v>30</v>
      </c>
      <c r="F12" s="115" t="s">
        <v>29</v>
      </c>
      <c r="G12" s="115" t="s">
        <v>30</v>
      </c>
      <c r="H12" s="33" t="s">
        <v>41</v>
      </c>
      <c r="I12" s="130"/>
      <c r="J12" s="33" t="s">
        <v>42</v>
      </c>
      <c r="K12" s="128">
        <v>17434.0</v>
      </c>
      <c r="L12" s="131"/>
      <c r="M12" s="120" t="s">
        <v>55</v>
      </c>
      <c r="N12" s="33" t="s">
        <v>56</v>
      </c>
      <c r="O12" s="120" t="s">
        <v>50</v>
      </c>
      <c r="P12" s="117">
        <v>600790.0</v>
      </c>
      <c r="Q12" s="114">
        <f t="shared" si="3"/>
        <v>9</v>
      </c>
      <c r="R12" s="129"/>
      <c r="S12" s="123">
        <v>45535.0</v>
      </c>
      <c r="T12" s="59"/>
      <c r="U12" s="124">
        <f t="shared" si="1"/>
        <v>76.9890411</v>
      </c>
      <c r="V12" s="125">
        <f t="shared" si="2"/>
        <v>78.86027397</v>
      </c>
      <c r="W12" s="112"/>
      <c r="X12" s="112"/>
      <c r="Y12" s="59"/>
      <c r="Z12" s="59"/>
    </row>
    <row r="13" ht="33.75" customHeight="1">
      <c r="A13" s="113" t="s">
        <v>25</v>
      </c>
      <c r="B13" s="114" t="s">
        <v>53</v>
      </c>
      <c r="C13" s="115" t="s">
        <v>39</v>
      </c>
      <c r="D13" s="33" t="s">
        <v>40</v>
      </c>
      <c r="E13" s="115" t="s">
        <v>30</v>
      </c>
      <c r="F13" s="115" t="s">
        <v>29</v>
      </c>
      <c r="G13" s="115" t="s">
        <v>30</v>
      </c>
      <c r="H13" s="33" t="s">
        <v>41</v>
      </c>
      <c r="I13" s="132" t="s">
        <v>150</v>
      </c>
      <c r="J13" s="33" t="s">
        <v>42</v>
      </c>
      <c r="K13" s="118">
        <v>26988.0</v>
      </c>
      <c r="L13" s="119" t="s">
        <v>151</v>
      </c>
      <c r="M13" s="120" t="s">
        <v>148</v>
      </c>
      <c r="N13" s="33" t="s">
        <v>35</v>
      </c>
      <c r="O13" s="120" t="s">
        <v>152</v>
      </c>
      <c r="P13" s="114">
        <v>629430.0</v>
      </c>
      <c r="Q13" s="114">
        <f t="shared" si="3"/>
        <v>10</v>
      </c>
      <c r="R13" s="122"/>
      <c r="S13" s="123">
        <v>45535.0</v>
      </c>
      <c r="T13" s="59"/>
      <c r="U13" s="124">
        <f t="shared" si="1"/>
        <v>50.81369863</v>
      </c>
      <c r="V13" s="125">
        <f t="shared" si="2"/>
        <v>52.68493151</v>
      </c>
      <c r="W13" s="108"/>
      <c r="X13" s="112"/>
      <c r="Y13" s="59"/>
      <c r="Z13" s="59"/>
    </row>
    <row r="14" ht="33.75" customHeight="1">
      <c r="A14" s="113" t="s">
        <v>25</v>
      </c>
      <c r="B14" s="133"/>
      <c r="C14" s="134" t="s">
        <v>76</v>
      </c>
      <c r="D14" s="33" t="s">
        <v>40</v>
      </c>
      <c r="E14" s="115" t="s">
        <v>30</v>
      </c>
      <c r="F14" s="115" t="s">
        <v>29</v>
      </c>
      <c r="G14" s="115" t="s">
        <v>30</v>
      </c>
      <c r="H14" s="33" t="s">
        <v>154</v>
      </c>
      <c r="I14" s="135" t="s">
        <v>155</v>
      </c>
      <c r="J14" s="33" t="s">
        <v>42</v>
      </c>
      <c r="K14" s="118">
        <v>29319.0</v>
      </c>
      <c r="L14" s="119" t="s">
        <v>156</v>
      </c>
      <c r="M14" s="120" t="s">
        <v>157</v>
      </c>
      <c r="N14" s="33" t="s">
        <v>35</v>
      </c>
      <c r="O14" s="120" t="s">
        <v>158</v>
      </c>
      <c r="P14" s="114">
        <v>73236.0</v>
      </c>
      <c r="Q14" s="114">
        <f t="shared" si="3"/>
        <v>11</v>
      </c>
      <c r="R14" s="122"/>
      <c r="S14" s="123">
        <v>45535.0</v>
      </c>
      <c r="T14" s="59"/>
      <c r="U14" s="124">
        <f t="shared" si="1"/>
        <v>44.42739726</v>
      </c>
      <c r="V14" s="125">
        <f t="shared" si="2"/>
        <v>46.29863014</v>
      </c>
      <c r="W14" s="108"/>
      <c r="X14" s="112"/>
      <c r="Y14" s="59"/>
      <c r="Z14" s="59"/>
    </row>
    <row r="15" ht="33.75" customHeight="1">
      <c r="A15" s="113" t="s">
        <v>25</v>
      </c>
      <c r="B15" s="114" t="s">
        <v>53</v>
      </c>
      <c r="C15" s="127" t="s">
        <v>54</v>
      </c>
      <c r="D15" s="33" t="s">
        <v>40</v>
      </c>
      <c r="E15" s="115" t="s">
        <v>30</v>
      </c>
      <c r="F15" s="115" t="s">
        <v>29</v>
      </c>
      <c r="G15" s="115" t="s">
        <v>30</v>
      </c>
      <c r="H15" s="33" t="s">
        <v>48</v>
      </c>
      <c r="I15" s="130"/>
      <c r="J15" s="33" t="s">
        <v>42</v>
      </c>
      <c r="K15" s="128">
        <v>23484.0</v>
      </c>
      <c r="L15" s="119" t="s">
        <v>205</v>
      </c>
      <c r="M15" s="120" t="s">
        <v>206</v>
      </c>
      <c r="N15" s="33" t="s">
        <v>56</v>
      </c>
      <c r="O15" s="120" t="s">
        <v>207</v>
      </c>
      <c r="P15" s="114">
        <v>629439.0</v>
      </c>
      <c r="Q15" s="114">
        <f t="shared" si="3"/>
        <v>12</v>
      </c>
      <c r="R15" s="129"/>
      <c r="S15" s="123">
        <v>45535.0</v>
      </c>
      <c r="T15" s="59"/>
      <c r="U15" s="124">
        <f t="shared" si="1"/>
        <v>60.41369863</v>
      </c>
      <c r="V15" s="125">
        <f t="shared" si="2"/>
        <v>62.28493151</v>
      </c>
      <c r="W15" s="112"/>
      <c r="X15" s="112"/>
      <c r="Y15" s="59"/>
      <c r="Z15" s="59"/>
    </row>
    <row r="16" ht="33.75" customHeight="1">
      <c r="A16" s="113" t="s">
        <v>25</v>
      </c>
      <c r="B16" s="114" t="s">
        <v>75</v>
      </c>
      <c r="C16" s="115" t="s">
        <v>39</v>
      </c>
      <c r="D16" s="33" t="s">
        <v>40</v>
      </c>
      <c r="E16" s="115" t="s">
        <v>30</v>
      </c>
      <c r="F16" s="115" t="s">
        <v>29</v>
      </c>
      <c r="G16" s="115" t="s">
        <v>30</v>
      </c>
      <c r="H16" s="33" t="s">
        <v>41</v>
      </c>
      <c r="I16" s="130"/>
      <c r="J16" s="33" t="s">
        <v>42</v>
      </c>
      <c r="K16" s="118">
        <v>29895.0</v>
      </c>
      <c r="L16" s="119" t="s">
        <v>160</v>
      </c>
      <c r="M16" s="120" t="s">
        <v>161</v>
      </c>
      <c r="N16" s="33" t="s">
        <v>35</v>
      </c>
      <c r="O16" s="120" t="s">
        <v>162</v>
      </c>
      <c r="P16" s="114">
        <v>698781.0</v>
      </c>
      <c r="Q16" s="114">
        <f t="shared" si="3"/>
        <v>13</v>
      </c>
      <c r="R16" s="129"/>
      <c r="S16" s="123">
        <v>45535.0</v>
      </c>
      <c r="T16" s="59"/>
      <c r="U16" s="124">
        <f t="shared" si="1"/>
        <v>42.84931507</v>
      </c>
      <c r="V16" s="125">
        <f t="shared" si="2"/>
        <v>44.72054795</v>
      </c>
      <c r="W16" s="108"/>
      <c r="X16" s="112"/>
      <c r="Y16" s="59"/>
      <c r="Z16" s="59"/>
    </row>
    <row r="17" ht="33.75" customHeight="1">
      <c r="A17" s="113" t="s">
        <v>25</v>
      </c>
      <c r="B17" s="114" t="s">
        <v>27</v>
      </c>
      <c r="C17" s="127" t="s">
        <v>54</v>
      </c>
      <c r="D17" s="33" t="s">
        <v>40</v>
      </c>
      <c r="E17" s="115" t="s">
        <v>30</v>
      </c>
      <c r="F17" s="115" t="s">
        <v>29</v>
      </c>
      <c r="G17" s="115" t="s">
        <v>30</v>
      </c>
      <c r="H17" s="33" t="s">
        <v>48</v>
      </c>
      <c r="I17" s="116" t="s">
        <v>164</v>
      </c>
      <c r="J17" s="33" t="s">
        <v>42</v>
      </c>
      <c r="K17" s="118">
        <v>21551.0</v>
      </c>
      <c r="L17" s="119" t="s">
        <v>165</v>
      </c>
      <c r="M17" s="120" t="s">
        <v>80</v>
      </c>
      <c r="N17" s="33" t="s">
        <v>56</v>
      </c>
      <c r="O17" s="120" t="s">
        <v>166</v>
      </c>
      <c r="P17" s="114">
        <v>697260.0</v>
      </c>
      <c r="Q17" s="114">
        <f t="shared" si="3"/>
        <v>14</v>
      </c>
      <c r="R17" s="122"/>
      <c r="S17" s="123">
        <v>45535.0</v>
      </c>
      <c r="T17" s="59"/>
      <c r="U17" s="124">
        <f t="shared" si="1"/>
        <v>65.70958904</v>
      </c>
      <c r="V17" s="125">
        <f t="shared" si="2"/>
        <v>67.58082192</v>
      </c>
      <c r="W17" s="112"/>
      <c r="X17" s="112"/>
      <c r="Y17" s="59"/>
      <c r="Z17" s="59"/>
    </row>
    <row r="18" ht="33.75" customHeight="1">
      <c r="A18" s="113" t="s">
        <v>25</v>
      </c>
      <c r="B18" s="114" t="s">
        <v>27</v>
      </c>
      <c r="C18" s="127" t="s">
        <v>54</v>
      </c>
      <c r="D18" s="33" t="s">
        <v>40</v>
      </c>
      <c r="E18" s="115" t="s">
        <v>30</v>
      </c>
      <c r="F18" s="115" t="s">
        <v>29</v>
      </c>
      <c r="G18" s="115" t="s">
        <v>30</v>
      </c>
      <c r="H18" s="136" t="s">
        <v>58</v>
      </c>
      <c r="I18" s="130"/>
      <c r="J18" s="33" t="s">
        <v>42</v>
      </c>
      <c r="K18" s="128">
        <v>20261.0</v>
      </c>
      <c r="L18" s="119" t="s">
        <v>59</v>
      </c>
      <c r="M18" s="120" t="s">
        <v>60</v>
      </c>
      <c r="N18" s="33" t="s">
        <v>56</v>
      </c>
      <c r="O18" s="120" t="s">
        <v>61</v>
      </c>
      <c r="P18" s="114">
        <v>696347.0</v>
      </c>
      <c r="Q18" s="114">
        <f t="shared" si="3"/>
        <v>15</v>
      </c>
      <c r="R18" s="129"/>
      <c r="S18" s="123">
        <v>45535.0</v>
      </c>
      <c r="T18" s="59"/>
      <c r="U18" s="124">
        <f t="shared" si="1"/>
        <v>69.24383562</v>
      </c>
      <c r="V18" s="125">
        <f t="shared" si="2"/>
        <v>71.11506849</v>
      </c>
      <c r="W18" s="112"/>
      <c r="X18" s="112"/>
      <c r="Y18" s="59"/>
      <c r="Z18" s="59"/>
    </row>
    <row r="19" ht="33.75" customHeight="1">
      <c r="A19" s="113" t="s">
        <v>25</v>
      </c>
      <c r="B19" s="117" t="s">
        <v>168</v>
      </c>
      <c r="C19" s="115" t="s">
        <v>39</v>
      </c>
      <c r="D19" s="33" t="s">
        <v>40</v>
      </c>
      <c r="E19" s="115" t="s">
        <v>30</v>
      </c>
      <c r="F19" s="115" t="s">
        <v>29</v>
      </c>
      <c r="G19" s="115" t="s">
        <v>30</v>
      </c>
      <c r="H19" s="33" t="s">
        <v>41</v>
      </c>
      <c r="I19" s="130"/>
      <c r="J19" s="33" t="s">
        <v>42</v>
      </c>
      <c r="K19" s="128">
        <v>27784.0</v>
      </c>
      <c r="L19" s="119" t="s">
        <v>169</v>
      </c>
      <c r="M19" s="120" t="s">
        <v>170</v>
      </c>
      <c r="N19" s="33" t="s">
        <v>35</v>
      </c>
      <c r="O19" s="120" t="s">
        <v>171</v>
      </c>
      <c r="P19" s="114">
        <v>697262.0</v>
      </c>
      <c r="Q19" s="114">
        <f t="shared" si="3"/>
        <v>16</v>
      </c>
      <c r="R19" s="129"/>
      <c r="S19" s="123">
        <v>45535.0</v>
      </c>
      <c r="T19" s="59"/>
      <c r="U19" s="124">
        <f t="shared" si="1"/>
        <v>48.63287671</v>
      </c>
      <c r="V19" s="125">
        <f t="shared" si="2"/>
        <v>50.50410959</v>
      </c>
      <c r="W19" s="108"/>
      <c r="X19" s="112"/>
      <c r="Y19" s="59"/>
      <c r="Z19" s="59"/>
    </row>
    <row r="20" ht="33.75" customHeight="1">
      <c r="A20" s="113" t="s">
        <v>25</v>
      </c>
      <c r="B20" s="114" t="s">
        <v>53</v>
      </c>
      <c r="C20" s="127" t="s">
        <v>54</v>
      </c>
      <c r="D20" s="33" t="s">
        <v>40</v>
      </c>
      <c r="E20" s="115" t="s">
        <v>30</v>
      </c>
      <c r="F20" s="115" t="s">
        <v>29</v>
      </c>
      <c r="G20" s="115" t="s">
        <v>30</v>
      </c>
      <c r="H20" s="33" t="s">
        <v>63</v>
      </c>
      <c r="I20" s="116" t="s">
        <v>64</v>
      </c>
      <c r="J20" s="33" t="s">
        <v>42</v>
      </c>
      <c r="K20" s="128">
        <v>19786.0</v>
      </c>
      <c r="L20" s="119" t="s">
        <v>65</v>
      </c>
      <c r="M20" s="120" t="s">
        <v>66</v>
      </c>
      <c r="N20" s="33" t="s">
        <v>56</v>
      </c>
      <c r="O20" s="120" t="s">
        <v>67</v>
      </c>
      <c r="P20" s="114">
        <v>633185.0</v>
      </c>
      <c r="Q20" s="114">
        <f t="shared" si="3"/>
        <v>17</v>
      </c>
      <c r="R20" s="122"/>
      <c r="S20" s="123">
        <v>45535.0</v>
      </c>
      <c r="T20" s="59"/>
      <c r="U20" s="124">
        <f t="shared" si="1"/>
        <v>70.54520548</v>
      </c>
      <c r="V20" s="125">
        <f t="shared" si="2"/>
        <v>72.41643836</v>
      </c>
      <c r="W20" s="112"/>
      <c r="X20" s="112"/>
      <c r="Y20" s="59"/>
      <c r="Z20" s="59"/>
    </row>
    <row r="21" ht="33.75" customHeight="1">
      <c r="A21" s="113" t="s">
        <v>25</v>
      </c>
      <c r="B21" s="114" t="s">
        <v>69</v>
      </c>
      <c r="C21" s="115" t="s">
        <v>39</v>
      </c>
      <c r="D21" s="33" t="s">
        <v>40</v>
      </c>
      <c r="E21" s="115" t="s">
        <v>30</v>
      </c>
      <c r="F21" s="115" t="s">
        <v>29</v>
      </c>
      <c r="G21" s="115" t="s">
        <v>30</v>
      </c>
      <c r="H21" s="33" t="s">
        <v>48</v>
      </c>
      <c r="I21" s="130"/>
      <c r="J21" s="33" t="s">
        <v>42</v>
      </c>
      <c r="K21" s="128">
        <v>23531.0</v>
      </c>
      <c r="L21" s="119" t="s">
        <v>71</v>
      </c>
      <c r="M21" s="120" t="s">
        <v>72</v>
      </c>
      <c r="N21" s="33" t="s">
        <v>56</v>
      </c>
      <c r="O21" s="120" t="s">
        <v>73</v>
      </c>
      <c r="P21" s="114">
        <v>626887.0</v>
      </c>
      <c r="Q21" s="114">
        <f t="shared" si="3"/>
        <v>18</v>
      </c>
      <c r="R21" s="122"/>
      <c r="S21" s="123">
        <v>45535.0</v>
      </c>
      <c r="T21" s="59"/>
      <c r="U21" s="124">
        <f t="shared" si="1"/>
        <v>60.28493151</v>
      </c>
      <c r="V21" s="125">
        <f t="shared" si="2"/>
        <v>62.15616438</v>
      </c>
      <c r="W21" s="112"/>
      <c r="X21" s="112"/>
      <c r="Y21" s="59"/>
      <c r="Z21" s="59"/>
    </row>
    <row r="22" ht="33.75" customHeight="1">
      <c r="A22" s="113" t="s">
        <v>25</v>
      </c>
      <c r="B22" s="114" t="s">
        <v>27</v>
      </c>
      <c r="C22" s="127" t="s">
        <v>54</v>
      </c>
      <c r="D22" s="33" t="s">
        <v>40</v>
      </c>
      <c r="E22" s="115" t="s">
        <v>30</v>
      </c>
      <c r="F22" s="115" t="s">
        <v>29</v>
      </c>
      <c r="G22" s="115" t="s">
        <v>30</v>
      </c>
      <c r="H22" s="33" t="s">
        <v>48</v>
      </c>
      <c r="I22" s="130"/>
      <c r="J22" s="33" t="s">
        <v>42</v>
      </c>
      <c r="K22" s="118">
        <v>19299.0</v>
      </c>
      <c r="L22" s="119" t="s">
        <v>173</v>
      </c>
      <c r="M22" s="120" t="s">
        <v>174</v>
      </c>
      <c r="N22" s="33" t="s">
        <v>56</v>
      </c>
      <c r="O22" s="120" t="s">
        <v>175</v>
      </c>
      <c r="P22" s="114">
        <v>629414.0</v>
      </c>
      <c r="Q22" s="114">
        <f t="shared" si="3"/>
        <v>19</v>
      </c>
      <c r="R22" s="129"/>
      <c r="S22" s="123">
        <v>45535.0</v>
      </c>
      <c r="T22" s="59"/>
      <c r="U22" s="124">
        <f t="shared" si="1"/>
        <v>71.87945205</v>
      </c>
      <c r="V22" s="125">
        <f t="shared" si="2"/>
        <v>73.75068493</v>
      </c>
      <c r="W22" s="112"/>
      <c r="X22" s="112"/>
      <c r="Y22" s="59"/>
      <c r="Z22" s="59"/>
    </row>
    <row r="23" ht="33.75" customHeight="1">
      <c r="A23" s="113" t="s">
        <v>25</v>
      </c>
      <c r="B23" s="114" t="s">
        <v>47</v>
      </c>
      <c r="C23" s="115" t="s">
        <v>39</v>
      </c>
      <c r="D23" s="115" t="s">
        <v>29</v>
      </c>
      <c r="E23" s="115" t="s">
        <v>30</v>
      </c>
      <c r="F23" s="115" t="s">
        <v>29</v>
      </c>
      <c r="G23" s="115" t="s">
        <v>30</v>
      </c>
      <c r="H23" s="33" t="s">
        <v>63</v>
      </c>
      <c r="I23" s="135" t="s">
        <v>177</v>
      </c>
      <c r="J23" s="33" t="s">
        <v>42</v>
      </c>
      <c r="K23" s="128">
        <v>22526.0</v>
      </c>
      <c r="L23" s="137" t="s">
        <v>178</v>
      </c>
      <c r="M23" s="120" t="s">
        <v>179</v>
      </c>
      <c r="N23" s="33" t="s">
        <v>56</v>
      </c>
      <c r="O23" s="120" t="s">
        <v>180</v>
      </c>
      <c r="P23" s="114">
        <v>626872.0</v>
      </c>
      <c r="Q23" s="114">
        <f t="shared" si="3"/>
        <v>20</v>
      </c>
      <c r="R23" s="122"/>
      <c r="S23" s="123">
        <v>45535.0</v>
      </c>
      <c r="T23" s="59"/>
      <c r="U23" s="124">
        <f t="shared" si="1"/>
        <v>63.03835616</v>
      </c>
      <c r="V23" s="125">
        <f t="shared" si="2"/>
        <v>64.90958904</v>
      </c>
      <c r="W23" s="112"/>
      <c r="X23" s="112"/>
      <c r="Y23" s="59"/>
      <c r="Z23" s="59"/>
    </row>
    <row r="24" ht="33.75" customHeight="1">
      <c r="A24" s="138" t="s">
        <v>25</v>
      </c>
      <c r="B24" s="114" t="s">
        <v>27</v>
      </c>
      <c r="C24" s="127" t="s">
        <v>54</v>
      </c>
      <c r="D24" s="42" t="s">
        <v>40</v>
      </c>
      <c r="E24" s="115" t="s">
        <v>30</v>
      </c>
      <c r="F24" s="115" t="s">
        <v>29</v>
      </c>
      <c r="G24" s="115" t="s">
        <v>30</v>
      </c>
      <c r="H24" s="42" t="s">
        <v>48</v>
      </c>
      <c r="I24" s="139"/>
      <c r="J24" s="42" t="s">
        <v>42</v>
      </c>
      <c r="K24" s="140">
        <v>27546.0</v>
      </c>
      <c r="L24" s="137" t="s">
        <v>181</v>
      </c>
      <c r="M24" s="141" t="s">
        <v>182</v>
      </c>
      <c r="N24" s="42" t="s">
        <v>35</v>
      </c>
      <c r="O24" s="142" t="s">
        <v>183</v>
      </c>
      <c r="P24" s="138">
        <v>696346.0</v>
      </c>
      <c r="Q24" s="138">
        <f t="shared" si="3"/>
        <v>21</v>
      </c>
      <c r="R24" s="129"/>
      <c r="S24" s="123">
        <v>45535.0</v>
      </c>
      <c r="T24" s="59"/>
      <c r="U24" s="124">
        <f t="shared" si="1"/>
        <v>49.28493151</v>
      </c>
      <c r="V24" s="125">
        <f t="shared" si="2"/>
        <v>51.15616438</v>
      </c>
      <c r="W24" s="108"/>
      <c r="X24" s="112"/>
      <c r="Y24" s="59"/>
      <c r="Z24" s="59"/>
    </row>
    <row r="25" ht="33.75" customHeight="1">
      <c r="A25" s="138" t="s">
        <v>25</v>
      </c>
      <c r="B25" s="143" t="s">
        <v>75</v>
      </c>
      <c r="C25" s="134" t="s">
        <v>76</v>
      </c>
      <c r="D25" s="42" t="s">
        <v>40</v>
      </c>
      <c r="E25" s="115" t="s">
        <v>30</v>
      </c>
      <c r="F25" s="115" t="s">
        <v>29</v>
      </c>
      <c r="G25" s="115" t="s">
        <v>30</v>
      </c>
      <c r="H25" s="42" t="s">
        <v>41</v>
      </c>
      <c r="I25" s="135" t="s">
        <v>77</v>
      </c>
      <c r="J25" s="42" t="s">
        <v>42</v>
      </c>
      <c r="K25" s="144">
        <v>30189.0</v>
      </c>
      <c r="L25" s="137" t="s">
        <v>78</v>
      </c>
      <c r="M25" s="141" t="s">
        <v>79</v>
      </c>
      <c r="N25" s="42" t="s">
        <v>35</v>
      </c>
      <c r="O25" s="142" t="s">
        <v>80</v>
      </c>
      <c r="P25" s="121">
        <v>699653.0</v>
      </c>
      <c r="Q25" s="138">
        <f t="shared" si="3"/>
        <v>22</v>
      </c>
      <c r="R25" s="122"/>
      <c r="S25" s="123">
        <v>45535.0</v>
      </c>
      <c r="T25" s="59"/>
      <c r="U25" s="124">
        <f t="shared" si="1"/>
        <v>42.04383562</v>
      </c>
      <c r="V25" s="125">
        <f t="shared" si="2"/>
        <v>43.91506849</v>
      </c>
      <c r="W25" s="108"/>
      <c r="X25" s="112"/>
      <c r="Y25" s="59"/>
      <c r="Z25" s="59"/>
    </row>
    <row r="26" ht="33.75" customHeight="1">
      <c r="A26" s="138" t="s">
        <v>25</v>
      </c>
      <c r="B26" s="114" t="s">
        <v>27</v>
      </c>
      <c r="C26" s="115" t="s">
        <v>39</v>
      </c>
      <c r="D26" s="42" t="s">
        <v>40</v>
      </c>
      <c r="E26" s="115" t="s">
        <v>30</v>
      </c>
      <c r="F26" s="115" t="s">
        <v>29</v>
      </c>
      <c r="G26" s="115" t="s">
        <v>30</v>
      </c>
      <c r="H26" s="42" t="s">
        <v>41</v>
      </c>
      <c r="I26" s="139"/>
      <c r="J26" s="42" t="s">
        <v>42</v>
      </c>
      <c r="K26" s="140">
        <v>26665.0</v>
      </c>
      <c r="L26" s="145" t="s">
        <v>82</v>
      </c>
      <c r="M26" s="146" t="s">
        <v>83</v>
      </c>
      <c r="N26" s="42" t="s">
        <v>35</v>
      </c>
      <c r="O26" s="142" t="s">
        <v>84</v>
      </c>
      <c r="P26" s="143">
        <v>632609.0</v>
      </c>
      <c r="Q26" s="138">
        <f t="shared" si="3"/>
        <v>23</v>
      </c>
      <c r="R26" s="129"/>
      <c r="S26" s="123">
        <v>45535.0</v>
      </c>
      <c r="T26" s="59"/>
      <c r="U26" s="124">
        <f t="shared" si="1"/>
        <v>51.69863014</v>
      </c>
      <c r="V26" s="125">
        <f t="shared" si="2"/>
        <v>53.56986301</v>
      </c>
      <c r="W26" s="108"/>
      <c r="X26" s="112"/>
      <c r="Y26" s="59"/>
      <c r="Z26" s="59"/>
    </row>
    <row r="27" ht="33.75" customHeight="1">
      <c r="A27" s="138" t="s">
        <v>25</v>
      </c>
      <c r="B27" s="114" t="s">
        <v>27</v>
      </c>
      <c r="C27" s="115" t="s">
        <v>39</v>
      </c>
      <c r="D27" s="42" t="s">
        <v>40</v>
      </c>
      <c r="E27" s="115" t="s">
        <v>30</v>
      </c>
      <c r="F27" s="115" t="s">
        <v>29</v>
      </c>
      <c r="G27" s="115" t="s">
        <v>30</v>
      </c>
      <c r="H27" s="42" t="s">
        <v>41</v>
      </c>
      <c r="I27" s="135" t="s">
        <v>185</v>
      </c>
      <c r="J27" s="42" t="s">
        <v>42</v>
      </c>
      <c r="K27" s="140">
        <v>26511.0</v>
      </c>
      <c r="L27" s="147" t="s">
        <v>186</v>
      </c>
      <c r="M27" s="148" t="s">
        <v>187</v>
      </c>
      <c r="N27" s="42" t="s">
        <v>35</v>
      </c>
      <c r="O27" s="142" t="s">
        <v>188</v>
      </c>
      <c r="P27" s="121">
        <v>626847.0</v>
      </c>
      <c r="Q27" s="138">
        <f t="shared" si="3"/>
        <v>24</v>
      </c>
      <c r="R27" s="122"/>
      <c r="S27" s="123">
        <v>45535.0</v>
      </c>
      <c r="T27" s="59"/>
      <c r="U27" s="124">
        <f t="shared" si="1"/>
        <v>52.12054795</v>
      </c>
      <c r="V27" s="125">
        <f t="shared" si="2"/>
        <v>53.99178082</v>
      </c>
      <c r="W27" s="108"/>
      <c r="X27" s="112"/>
      <c r="Y27" s="59"/>
      <c r="Z27" s="59"/>
    </row>
    <row r="28" ht="33.75" customHeight="1">
      <c r="A28" s="138" t="s">
        <v>25</v>
      </c>
      <c r="B28" s="121" t="s">
        <v>53</v>
      </c>
      <c r="C28" s="134" t="s">
        <v>76</v>
      </c>
      <c r="D28" s="42" t="s">
        <v>40</v>
      </c>
      <c r="E28" s="115" t="s">
        <v>30</v>
      </c>
      <c r="F28" s="115" t="s">
        <v>29</v>
      </c>
      <c r="G28" s="115" t="s">
        <v>30</v>
      </c>
      <c r="H28" s="42" t="s">
        <v>31</v>
      </c>
      <c r="I28" s="135" t="s">
        <v>86</v>
      </c>
      <c r="J28" s="42" t="s">
        <v>42</v>
      </c>
      <c r="K28" s="140">
        <v>29543.0</v>
      </c>
      <c r="L28" s="137" t="s">
        <v>87</v>
      </c>
      <c r="M28" s="141" t="s">
        <v>88</v>
      </c>
      <c r="N28" s="42" t="s">
        <v>35</v>
      </c>
      <c r="O28" s="149" t="s">
        <v>89</v>
      </c>
      <c r="P28" s="121">
        <v>76290.0</v>
      </c>
      <c r="Q28" s="138">
        <f t="shared" si="3"/>
        <v>25</v>
      </c>
      <c r="R28" s="122"/>
      <c r="S28" s="123">
        <v>45535.0</v>
      </c>
      <c r="T28" s="59"/>
      <c r="U28" s="124">
        <f t="shared" si="1"/>
        <v>43.81369863</v>
      </c>
      <c r="V28" s="125">
        <f t="shared" si="2"/>
        <v>45.68493151</v>
      </c>
      <c r="W28" s="112"/>
      <c r="X28" s="112"/>
      <c r="Y28" s="59"/>
      <c r="Z28" s="59"/>
    </row>
    <row r="29" ht="33.75" customHeight="1">
      <c r="A29" s="138" t="s">
        <v>25</v>
      </c>
      <c r="B29" s="121" t="s">
        <v>27</v>
      </c>
      <c r="C29" s="134" t="s">
        <v>76</v>
      </c>
      <c r="D29" s="42" t="s">
        <v>40</v>
      </c>
      <c r="E29" s="115" t="s">
        <v>30</v>
      </c>
      <c r="F29" s="115" t="s">
        <v>29</v>
      </c>
      <c r="G29" s="115" t="s">
        <v>30</v>
      </c>
      <c r="H29" s="33" t="s">
        <v>48</v>
      </c>
      <c r="I29" s="139"/>
      <c r="J29" s="42" t="s">
        <v>42</v>
      </c>
      <c r="K29" s="140">
        <v>25571.0</v>
      </c>
      <c r="L29" s="147" t="s">
        <v>190</v>
      </c>
      <c r="M29" s="148" t="s">
        <v>191</v>
      </c>
      <c r="N29" s="42" t="s">
        <v>35</v>
      </c>
      <c r="O29" s="149" t="s">
        <v>192</v>
      </c>
      <c r="P29" s="121">
        <v>700623.0</v>
      </c>
      <c r="Q29" s="138">
        <f t="shared" si="3"/>
        <v>26</v>
      </c>
      <c r="R29" s="129"/>
      <c r="S29" s="123">
        <v>45535.0</v>
      </c>
      <c r="T29" s="59"/>
      <c r="U29" s="124">
        <f t="shared" si="1"/>
        <v>54.69589041</v>
      </c>
      <c r="V29" s="125">
        <f t="shared" si="2"/>
        <v>56.56712329</v>
      </c>
      <c r="W29" s="112"/>
      <c r="X29" s="112"/>
      <c r="Y29" s="59"/>
      <c r="Z29" s="59"/>
    </row>
    <row r="30" ht="33.75" customHeight="1">
      <c r="A30" s="138" t="s">
        <v>25</v>
      </c>
      <c r="B30" s="138" t="s">
        <v>47</v>
      </c>
      <c r="C30" s="134" t="s">
        <v>76</v>
      </c>
      <c r="D30" s="42" t="s">
        <v>40</v>
      </c>
      <c r="E30" s="115" t="s">
        <v>30</v>
      </c>
      <c r="F30" s="115" t="s">
        <v>29</v>
      </c>
      <c r="G30" s="115" t="s">
        <v>30</v>
      </c>
      <c r="H30" s="42" t="s">
        <v>31</v>
      </c>
      <c r="I30" s="150" t="s">
        <v>91</v>
      </c>
      <c r="J30" s="42" t="s">
        <v>42</v>
      </c>
      <c r="K30" s="140">
        <v>22937.0</v>
      </c>
      <c r="L30" s="147" t="s">
        <v>92</v>
      </c>
      <c r="M30" s="148" t="s">
        <v>93</v>
      </c>
      <c r="N30" s="42" t="s">
        <v>56</v>
      </c>
      <c r="O30" s="149" t="s">
        <v>94</v>
      </c>
      <c r="P30" s="143">
        <v>701872.0</v>
      </c>
      <c r="Q30" s="138">
        <f t="shared" si="3"/>
        <v>27</v>
      </c>
      <c r="R30" s="122"/>
      <c r="S30" s="123">
        <v>45535.0</v>
      </c>
      <c r="T30" s="59"/>
      <c r="U30" s="124">
        <f t="shared" si="1"/>
        <v>61.91232877</v>
      </c>
      <c r="V30" s="125">
        <f t="shared" si="2"/>
        <v>63.78356164</v>
      </c>
      <c r="W30" s="112"/>
      <c r="X30" s="108">
        <v>13.0</v>
      </c>
      <c r="Y30" s="59"/>
      <c r="Z30" s="59"/>
    </row>
    <row r="31" ht="33.75" customHeight="1">
      <c r="A31" s="138" t="s">
        <v>25</v>
      </c>
      <c r="B31" s="138" t="s">
        <v>47</v>
      </c>
      <c r="C31" s="134" t="s">
        <v>115</v>
      </c>
      <c r="D31" s="115" t="s">
        <v>29</v>
      </c>
      <c r="E31" s="115" t="s">
        <v>30</v>
      </c>
      <c r="F31" s="115" t="s">
        <v>29</v>
      </c>
      <c r="G31" s="115" t="s">
        <v>30</v>
      </c>
      <c r="H31" s="151" t="s">
        <v>116</v>
      </c>
      <c r="I31" s="150" t="s">
        <v>117</v>
      </c>
      <c r="J31" s="42" t="s">
        <v>42</v>
      </c>
      <c r="K31" s="152">
        <v>28888.0</v>
      </c>
      <c r="L31" s="137" t="s">
        <v>118</v>
      </c>
      <c r="M31" s="141" t="s">
        <v>119</v>
      </c>
      <c r="N31" s="42" t="s">
        <v>35</v>
      </c>
      <c r="O31" s="149" t="s">
        <v>120</v>
      </c>
      <c r="P31" s="143">
        <v>696463.0</v>
      </c>
      <c r="Q31" s="138">
        <f t="shared" si="3"/>
        <v>28</v>
      </c>
      <c r="R31" s="122"/>
      <c r="S31" s="123">
        <v>45535.0</v>
      </c>
      <c r="T31" s="59"/>
      <c r="U31" s="124">
        <f t="shared" si="1"/>
        <v>45.60821918</v>
      </c>
      <c r="V31" s="125">
        <f t="shared" si="2"/>
        <v>47.47945205</v>
      </c>
      <c r="W31" s="112"/>
      <c r="X31" s="108">
        <v>13.0</v>
      </c>
      <c r="Y31" s="59"/>
      <c r="Z31" s="59"/>
    </row>
    <row r="32" ht="33.0" customHeight="1">
      <c r="A32" s="113" t="s">
        <v>25</v>
      </c>
      <c r="B32" s="117" t="s">
        <v>53</v>
      </c>
      <c r="C32" s="127" t="s">
        <v>54</v>
      </c>
      <c r="D32" s="115" t="s">
        <v>40</v>
      </c>
      <c r="E32" s="115" t="s">
        <v>30</v>
      </c>
      <c r="F32" s="115" t="s">
        <v>29</v>
      </c>
      <c r="G32" s="115" t="s">
        <v>30</v>
      </c>
      <c r="H32" s="33" t="s">
        <v>31</v>
      </c>
      <c r="I32" s="33" t="s">
        <v>40</v>
      </c>
      <c r="J32" s="33" t="s">
        <v>42</v>
      </c>
      <c r="K32" s="128">
        <v>22922.0</v>
      </c>
      <c r="L32" s="119" t="s">
        <v>193</v>
      </c>
      <c r="M32" s="120" t="s">
        <v>194</v>
      </c>
      <c r="N32" s="33" t="s">
        <v>56</v>
      </c>
      <c r="O32" s="120" t="s">
        <v>195</v>
      </c>
      <c r="P32" s="121"/>
      <c r="Q32" s="138">
        <f t="shared" si="3"/>
        <v>29</v>
      </c>
      <c r="R32" s="122"/>
      <c r="S32" s="123">
        <v>45535.0</v>
      </c>
      <c r="T32" s="59"/>
      <c r="U32" s="124">
        <f t="shared" si="1"/>
        <v>61.95342466</v>
      </c>
      <c r="V32" s="125">
        <f t="shared" si="2"/>
        <v>63.82465753</v>
      </c>
      <c r="W32" s="112"/>
      <c r="X32" s="108">
        <v>13.0</v>
      </c>
      <c r="Y32" s="99"/>
      <c r="Z32" s="99"/>
    </row>
    <row r="33" ht="33.0" customHeight="1">
      <c r="A33" s="38" t="s">
        <v>25</v>
      </c>
      <c r="B33" s="153" t="s">
        <v>53</v>
      </c>
      <c r="C33" s="154" t="s">
        <v>54</v>
      </c>
      <c r="D33" s="155" t="s">
        <v>96</v>
      </c>
      <c r="E33" s="155" t="s">
        <v>97</v>
      </c>
      <c r="F33" s="155" t="s">
        <v>98</v>
      </c>
      <c r="G33" s="154" t="s">
        <v>30</v>
      </c>
      <c r="H33" s="156" t="s">
        <v>111</v>
      </c>
      <c r="I33" s="156" t="s">
        <v>40</v>
      </c>
      <c r="J33" s="156" t="s">
        <v>42</v>
      </c>
      <c r="K33" s="70">
        <v>18272.0</v>
      </c>
      <c r="L33" s="157" t="s">
        <v>197</v>
      </c>
      <c r="M33" s="158" t="s">
        <v>198</v>
      </c>
      <c r="N33" s="156" t="s">
        <v>56</v>
      </c>
      <c r="O33" s="158" t="s">
        <v>199</v>
      </c>
      <c r="P33" s="159"/>
      <c r="Q33" s="138">
        <f t="shared" si="3"/>
        <v>30</v>
      </c>
      <c r="R33" s="122"/>
      <c r="S33" s="123">
        <v>45535.0</v>
      </c>
      <c r="T33" s="59"/>
      <c r="U33" s="124">
        <f t="shared" si="1"/>
        <v>74.69315068</v>
      </c>
      <c r="V33" s="125">
        <f t="shared" si="2"/>
        <v>76.56438356</v>
      </c>
      <c r="W33" s="112"/>
      <c r="X33" s="108">
        <v>13.0</v>
      </c>
      <c r="Y33" s="99"/>
      <c r="Z33" s="99"/>
    </row>
    <row r="34" ht="33.0" customHeight="1">
      <c r="A34" s="38" t="s">
        <v>25</v>
      </c>
      <c r="B34" s="153" t="s">
        <v>53</v>
      </c>
      <c r="C34" s="134" t="s">
        <v>76</v>
      </c>
      <c r="D34" s="155" t="s">
        <v>96</v>
      </c>
      <c r="E34" s="155" t="s">
        <v>97</v>
      </c>
      <c r="F34" s="155" t="s">
        <v>98</v>
      </c>
      <c r="G34" s="154" t="s">
        <v>30</v>
      </c>
      <c r="H34" s="160" t="s">
        <v>99</v>
      </c>
      <c r="I34" s="150" t="s">
        <v>100</v>
      </c>
      <c r="J34" s="156" t="s">
        <v>42</v>
      </c>
      <c r="K34" s="140">
        <v>30033.0</v>
      </c>
      <c r="L34" s="169" t="s">
        <v>101</v>
      </c>
      <c r="M34" s="120" t="s">
        <v>50</v>
      </c>
      <c r="N34" s="42" t="s">
        <v>35</v>
      </c>
      <c r="O34" s="158" t="s">
        <v>102</v>
      </c>
      <c r="P34" s="159"/>
      <c r="Q34" s="138">
        <f t="shared" si="3"/>
        <v>31</v>
      </c>
      <c r="R34" s="122"/>
      <c r="S34" s="123">
        <v>45535.0</v>
      </c>
      <c r="T34" s="59"/>
      <c r="U34" s="124">
        <f t="shared" si="1"/>
        <v>42.47123288</v>
      </c>
      <c r="V34" s="125">
        <f t="shared" si="2"/>
        <v>44.34246575</v>
      </c>
      <c r="W34" s="112"/>
      <c r="X34" s="108">
        <v>13.0</v>
      </c>
      <c r="Y34" s="99"/>
      <c r="Z34" s="99"/>
    </row>
    <row r="35" ht="32.25" customHeight="1">
      <c r="A35" s="38" t="s">
        <v>25</v>
      </c>
      <c r="B35" s="153" t="s">
        <v>53</v>
      </c>
      <c r="C35" s="127" t="s">
        <v>54</v>
      </c>
      <c r="D35" s="155" t="s">
        <v>96</v>
      </c>
      <c r="E35" s="155" t="s">
        <v>97</v>
      </c>
      <c r="F35" s="155" t="s">
        <v>98</v>
      </c>
      <c r="G35" s="154" t="s">
        <v>30</v>
      </c>
      <c r="H35" s="160" t="s">
        <v>104</v>
      </c>
      <c r="I35" s="150" t="s">
        <v>105</v>
      </c>
      <c r="J35" s="156" t="s">
        <v>42</v>
      </c>
      <c r="K35" s="140">
        <v>13473.0</v>
      </c>
      <c r="L35" s="169" t="s">
        <v>106</v>
      </c>
      <c r="M35" s="158" t="s">
        <v>107</v>
      </c>
      <c r="N35" s="156" t="s">
        <v>56</v>
      </c>
      <c r="O35" s="158" t="s">
        <v>108</v>
      </c>
      <c r="P35" s="159"/>
      <c r="Q35" s="138">
        <f t="shared" si="3"/>
        <v>32</v>
      </c>
      <c r="R35" s="97"/>
      <c r="S35" s="123">
        <v>45535.0</v>
      </c>
      <c r="T35" s="59"/>
      <c r="U35" s="124">
        <f t="shared" si="1"/>
        <v>87.84109589</v>
      </c>
      <c r="V35" s="125">
        <f t="shared" si="2"/>
        <v>89.71232877</v>
      </c>
      <c r="W35" s="112"/>
      <c r="X35" s="108">
        <v>13.0</v>
      </c>
      <c r="Y35" s="99"/>
      <c r="Z35" s="99"/>
    </row>
    <row r="36">
      <c r="A36" s="91"/>
      <c r="B36" s="91"/>
      <c r="C36" s="91"/>
      <c r="D36" s="91"/>
      <c r="E36" s="91"/>
      <c r="F36" s="91"/>
      <c r="G36" s="91"/>
      <c r="H36" s="91"/>
      <c r="I36" s="162"/>
      <c r="J36" s="91"/>
      <c r="K36" s="98"/>
      <c r="L36" s="163"/>
      <c r="M36" s="91"/>
      <c r="N36" s="91"/>
      <c r="O36" s="91"/>
      <c r="P36" s="91"/>
      <c r="Q36" s="91"/>
      <c r="R36" s="97"/>
      <c r="S36" s="98"/>
      <c r="T36" s="99"/>
      <c r="U36" s="99"/>
      <c r="V36" s="99"/>
      <c r="W36" s="99"/>
      <c r="X36" s="99"/>
      <c r="Y36" s="99"/>
      <c r="Z36" s="99"/>
    </row>
    <row r="37">
      <c r="A37" s="91"/>
      <c r="B37" s="91"/>
      <c r="C37" s="91"/>
      <c r="D37" s="91"/>
      <c r="E37" s="91"/>
      <c r="F37" s="91"/>
      <c r="G37" s="91"/>
      <c r="H37" s="91"/>
      <c r="I37" s="162"/>
      <c r="J37" s="91"/>
      <c r="K37" s="98"/>
      <c r="L37" s="163"/>
      <c r="M37" s="91"/>
      <c r="N37" s="91"/>
      <c r="O37" s="91"/>
      <c r="P37" s="91"/>
      <c r="Q37" s="91"/>
      <c r="R37" s="97"/>
      <c r="S37" s="98"/>
      <c r="T37" s="99"/>
      <c r="U37" s="99"/>
      <c r="V37" s="99"/>
      <c r="W37" s="99"/>
      <c r="X37" s="99"/>
      <c r="Y37" s="99"/>
      <c r="Z37" s="99"/>
    </row>
    <row r="38">
      <c r="A38" s="91"/>
      <c r="B38" s="91"/>
      <c r="C38" s="164"/>
      <c r="D38" s="25"/>
      <c r="E38" s="25"/>
      <c r="F38" s="25"/>
      <c r="G38" s="91"/>
      <c r="H38" s="165" t="s">
        <v>200</v>
      </c>
      <c r="K38" s="98"/>
      <c r="L38" s="163"/>
      <c r="M38" s="164"/>
      <c r="N38" s="25"/>
      <c r="O38" s="165" t="s">
        <v>201</v>
      </c>
      <c r="R38" s="97"/>
      <c r="S38" s="98"/>
      <c r="T38" s="99"/>
      <c r="U38" s="99"/>
      <c r="V38" s="99"/>
      <c r="W38" s="99"/>
      <c r="X38" s="99"/>
      <c r="Y38" s="99"/>
      <c r="Z38" s="99"/>
    </row>
    <row r="39">
      <c r="A39" s="91"/>
      <c r="B39" s="91"/>
      <c r="C39" s="91"/>
      <c r="D39" s="91"/>
      <c r="E39" s="91"/>
      <c r="F39" s="91"/>
      <c r="G39" s="91"/>
      <c r="H39" s="91"/>
      <c r="I39" s="91"/>
      <c r="J39" s="91"/>
      <c r="K39" s="98"/>
      <c r="L39" s="163"/>
      <c r="M39" s="91"/>
      <c r="N39" s="91"/>
      <c r="O39" s="91"/>
      <c r="P39" s="91"/>
      <c r="Q39" s="91"/>
      <c r="R39" s="97"/>
      <c r="S39" s="98"/>
      <c r="T39" s="99"/>
      <c r="U39" s="99"/>
      <c r="V39" s="99"/>
      <c r="W39" s="99"/>
      <c r="X39" s="99"/>
      <c r="Y39" s="99"/>
      <c r="Z39" s="99"/>
    </row>
    <row r="40">
      <c r="A40" s="91"/>
      <c r="B40" s="91"/>
      <c r="C40" s="91"/>
      <c r="D40" s="91"/>
      <c r="E40" s="91"/>
      <c r="F40" s="91"/>
      <c r="G40" s="91"/>
      <c r="H40" s="91"/>
      <c r="I40" s="162"/>
      <c r="J40" s="91"/>
      <c r="K40" s="98"/>
      <c r="L40" s="166"/>
      <c r="M40" s="167">
        <v>44865.0</v>
      </c>
      <c r="N40" s="25"/>
      <c r="O40" s="168" t="s">
        <v>202</v>
      </c>
      <c r="R40" s="97"/>
      <c r="S40" s="98"/>
      <c r="T40" s="99"/>
      <c r="U40" s="99"/>
      <c r="V40" s="99"/>
      <c r="W40" s="99"/>
      <c r="X40" s="99"/>
      <c r="Y40" s="99"/>
      <c r="Z40" s="99"/>
    </row>
  </sheetData>
  <mergeCells count="14">
    <mergeCell ref="D3:E3"/>
    <mergeCell ref="C38:F38"/>
    <mergeCell ref="H38:J38"/>
    <mergeCell ref="M38:N38"/>
    <mergeCell ref="O38:Q38"/>
    <mergeCell ref="M40:N40"/>
    <mergeCell ref="O40:Q40"/>
    <mergeCell ref="B1:D1"/>
    <mergeCell ref="E1:G1"/>
    <mergeCell ref="H1:I1"/>
    <mergeCell ref="J1:K1"/>
    <mergeCell ref="M1:N1"/>
    <mergeCell ref="O1:Q1"/>
    <mergeCell ref="F3:G3"/>
  </mergeCell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3" max="13" width="23.25"/>
    <col customWidth="1" min="15" max="15" width="24.38"/>
  </cols>
  <sheetData>
    <row r="1" ht="45.0" customHeight="1">
      <c r="A1" s="91"/>
      <c r="B1" s="92">
        <v>44865.0</v>
      </c>
      <c r="C1" s="4"/>
      <c r="D1" s="4"/>
      <c r="E1" s="93" t="s">
        <v>0</v>
      </c>
      <c r="H1" s="94" t="s">
        <v>1</v>
      </c>
      <c r="I1" s="4"/>
      <c r="J1" s="93" t="s">
        <v>2</v>
      </c>
      <c r="L1" s="95"/>
      <c r="M1" s="96" t="s">
        <v>3</v>
      </c>
      <c r="N1" s="4"/>
      <c r="O1" s="93" t="s">
        <v>4</v>
      </c>
      <c r="R1" s="97"/>
      <c r="S1" s="98"/>
      <c r="T1" s="99"/>
      <c r="U1" s="99"/>
      <c r="V1" s="99"/>
      <c r="W1" s="99"/>
      <c r="X1" s="99"/>
      <c r="Y1" s="99"/>
      <c r="Z1" s="99"/>
    </row>
    <row r="2">
      <c r="A2" s="100"/>
      <c r="B2" s="100"/>
      <c r="C2" s="100"/>
      <c r="D2" s="100"/>
      <c r="E2" s="100"/>
      <c r="F2" s="100"/>
      <c r="G2" s="100"/>
      <c r="H2" s="100"/>
      <c r="I2" s="101"/>
      <c r="J2" s="100"/>
      <c r="K2" s="102"/>
      <c r="L2" s="103"/>
      <c r="M2" s="100"/>
      <c r="N2" s="100"/>
      <c r="O2" s="100"/>
      <c r="P2" s="100"/>
      <c r="Q2" s="100"/>
      <c r="R2" s="104"/>
      <c r="S2" s="102"/>
    </row>
    <row r="3" ht="49.5" customHeight="1">
      <c r="A3" s="13" t="s">
        <v>5</v>
      </c>
      <c r="B3" s="105" t="s">
        <v>7</v>
      </c>
      <c r="C3" s="105" t="s">
        <v>8</v>
      </c>
      <c r="D3" s="106" t="s">
        <v>9</v>
      </c>
      <c r="E3" s="15"/>
      <c r="F3" s="106" t="s">
        <v>10</v>
      </c>
      <c r="G3" s="15"/>
      <c r="H3" s="105" t="s">
        <v>11</v>
      </c>
      <c r="I3" s="16" t="s">
        <v>12</v>
      </c>
      <c r="J3" s="13" t="s">
        <v>13</v>
      </c>
      <c r="K3" s="105" t="s">
        <v>14</v>
      </c>
      <c r="L3" s="105" t="s">
        <v>15</v>
      </c>
      <c r="M3" s="107" t="s">
        <v>16</v>
      </c>
      <c r="N3" s="105" t="s">
        <v>17</v>
      </c>
      <c r="O3" s="107" t="s">
        <v>18</v>
      </c>
      <c r="P3" s="105" t="s">
        <v>19</v>
      </c>
      <c r="Q3" s="105" t="s">
        <v>20</v>
      </c>
      <c r="R3" s="108"/>
      <c r="S3" s="109" t="s">
        <v>21</v>
      </c>
      <c r="T3" s="59"/>
      <c r="U3" s="110" t="s">
        <v>22</v>
      </c>
      <c r="V3" s="111" t="s">
        <v>23</v>
      </c>
      <c r="W3" s="112"/>
      <c r="X3" s="112"/>
      <c r="Y3" s="59"/>
      <c r="Z3" s="59"/>
    </row>
    <row r="4" ht="33.75" customHeight="1">
      <c r="A4" s="113" t="s">
        <v>25</v>
      </c>
      <c r="B4" s="114" t="s">
        <v>27</v>
      </c>
      <c r="C4" s="33" t="s">
        <v>28</v>
      </c>
      <c r="D4" s="115" t="s">
        <v>29</v>
      </c>
      <c r="E4" s="115" t="s">
        <v>30</v>
      </c>
      <c r="F4" s="115" t="s">
        <v>29</v>
      </c>
      <c r="G4" s="115" t="s">
        <v>30</v>
      </c>
      <c r="H4" s="33" t="s">
        <v>31</v>
      </c>
      <c r="I4" s="116" t="s">
        <v>32</v>
      </c>
      <c r="J4" s="117">
        <v>1994.0</v>
      </c>
      <c r="K4" s="118">
        <v>29758.0</v>
      </c>
      <c r="L4" s="119" t="s">
        <v>33</v>
      </c>
      <c r="M4" s="120" t="s">
        <v>34</v>
      </c>
      <c r="N4" s="33" t="s">
        <v>35</v>
      </c>
      <c r="O4" s="120" t="s">
        <v>36</v>
      </c>
      <c r="P4" s="121">
        <v>85855.0</v>
      </c>
      <c r="Q4" s="114">
        <v>1.0</v>
      </c>
      <c r="R4" s="122"/>
      <c r="S4" s="123">
        <v>45535.0</v>
      </c>
      <c r="T4" s="59"/>
      <c r="U4" s="124">
        <f t="shared" ref="U4:U35" si="1">(S4-K4)/365</f>
        <v>43.22465753</v>
      </c>
      <c r="V4" s="125">
        <f t="shared" ref="V4:V35" si="2">(TODAY()-K4)/365</f>
        <v>45.09589041</v>
      </c>
      <c r="W4" s="108"/>
      <c r="X4" s="112"/>
      <c r="Y4" s="59"/>
      <c r="Z4" s="59"/>
    </row>
    <row r="5" ht="33.75" customHeight="1">
      <c r="A5" s="113" t="s">
        <v>25</v>
      </c>
      <c r="B5" s="114" t="s">
        <v>47</v>
      </c>
      <c r="C5" s="115" t="s">
        <v>39</v>
      </c>
      <c r="D5" s="33" t="s">
        <v>40</v>
      </c>
      <c r="E5" s="115" t="s">
        <v>30</v>
      </c>
      <c r="F5" s="115" t="s">
        <v>29</v>
      </c>
      <c r="G5" s="115" t="s">
        <v>30</v>
      </c>
      <c r="H5" s="33" t="s">
        <v>41</v>
      </c>
      <c r="I5" s="126">
        <v>0.0</v>
      </c>
      <c r="J5" s="33" t="s">
        <v>42</v>
      </c>
      <c r="K5" s="118">
        <v>29102.0</v>
      </c>
      <c r="L5" s="119" t="s">
        <v>127</v>
      </c>
      <c r="M5" s="120" t="s">
        <v>128</v>
      </c>
      <c r="N5" s="33" t="s">
        <v>35</v>
      </c>
      <c r="O5" s="120" t="s">
        <v>129</v>
      </c>
      <c r="P5" s="114">
        <v>697263.0</v>
      </c>
      <c r="Q5" s="114">
        <f t="shared" ref="Q5:Q35" si="3">Q4+1</f>
        <v>2</v>
      </c>
      <c r="R5" s="122"/>
      <c r="S5" s="123">
        <v>45535.0</v>
      </c>
      <c r="T5" s="59"/>
      <c r="U5" s="124">
        <f t="shared" si="1"/>
        <v>45.02191781</v>
      </c>
      <c r="V5" s="125">
        <f t="shared" si="2"/>
        <v>46.89315068</v>
      </c>
      <c r="W5" s="108"/>
      <c r="X5" s="112"/>
      <c r="Y5" s="59"/>
      <c r="Z5" s="59"/>
    </row>
    <row r="6" ht="33.75" customHeight="1">
      <c r="A6" s="113" t="s">
        <v>25</v>
      </c>
      <c r="B6" s="114" t="s">
        <v>53</v>
      </c>
      <c r="C6" s="127" t="s">
        <v>54</v>
      </c>
      <c r="D6" s="115" t="s">
        <v>29</v>
      </c>
      <c r="E6" s="115" t="s">
        <v>30</v>
      </c>
      <c r="F6" s="115" t="s">
        <v>29</v>
      </c>
      <c r="G6" s="115" t="s">
        <v>30</v>
      </c>
      <c r="H6" s="33" t="s">
        <v>131</v>
      </c>
      <c r="I6" s="116" t="s">
        <v>132</v>
      </c>
      <c r="J6" s="33" t="s">
        <v>42</v>
      </c>
      <c r="K6" s="128">
        <v>17036.0</v>
      </c>
      <c r="L6" s="119" t="s">
        <v>133</v>
      </c>
      <c r="M6" s="120" t="s">
        <v>134</v>
      </c>
      <c r="N6" s="33" t="s">
        <v>56</v>
      </c>
      <c r="O6" s="120" t="s">
        <v>128</v>
      </c>
      <c r="P6" s="114">
        <v>633202.0</v>
      </c>
      <c r="Q6" s="114">
        <f t="shared" si="3"/>
        <v>3</v>
      </c>
      <c r="R6" s="122"/>
      <c r="S6" s="123">
        <v>45535.0</v>
      </c>
      <c r="T6" s="59"/>
      <c r="U6" s="124">
        <f t="shared" si="1"/>
        <v>78.07945205</v>
      </c>
      <c r="V6" s="125">
        <f t="shared" si="2"/>
        <v>79.95068493</v>
      </c>
      <c r="W6" s="112"/>
      <c r="X6" s="112"/>
      <c r="Y6" s="59"/>
      <c r="Z6" s="59"/>
    </row>
    <row r="7" ht="33.75" customHeight="1">
      <c r="A7" s="113" t="s">
        <v>37</v>
      </c>
      <c r="B7" s="114" t="s">
        <v>75</v>
      </c>
      <c r="C7" s="127" t="s">
        <v>54</v>
      </c>
      <c r="D7" s="33" t="s">
        <v>40</v>
      </c>
      <c r="E7" s="115" t="s">
        <v>30</v>
      </c>
      <c r="F7" s="115" t="s">
        <v>29</v>
      </c>
      <c r="G7" s="115" t="s">
        <v>30</v>
      </c>
      <c r="H7" s="33" t="s">
        <v>48</v>
      </c>
      <c r="I7" s="126">
        <v>0.0</v>
      </c>
      <c r="J7" s="33" t="s">
        <v>42</v>
      </c>
      <c r="K7" s="128">
        <v>19489.0</v>
      </c>
      <c r="L7" s="119" t="s">
        <v>136</v>
      </c>
      <c r="M7" s="120" t="s">
        <v>137</v>
      </c>
      <c r="N7" s="33" t="s">
        <v>56</v>
      </c>
      <c r="O7" s="120" t="s">
        <v>138</v>
      </c>
      <c r="P7" s="114">
        <v>690594.0</v>
      </c>
      <c r="Q7" s="114">
        <f t="shared" si="3"/>
        <v>4</v>
      </c>
      <c r="R7" s="129"/>
      <c r="S7" s="123">
        <v>45535.0</v>
      </c>
      <c r="T7" s="59"/>
      <c r="U7" s="124">
        <f t="shared" si="1"/>
        <v>71.35890411</v>
      </c>
      <c r="V7" s="125">
        <f t="shared" si="2"/>
        <v>73.23013699</v>
      </c>
      <c r="W7" s="112"/>
      <c r="X7" s="112"/>
      <c r="Y7" s="59"/>
      <c r="Z7" s="59"/>
    </row>
    <row r="8" ht="33.75" customHeight="1">
      <c r="A8" s="113" t="s">
        <v>37</v>
      </c>
      <c r="B8" s="114" t="s">
        <v>27</v>
      </c>
      <c r="C8" s="115" t="s">
        <v>39</v>
      </c>
      <c r="D8" s="33" t="s">
        <v>40</v>
      </c>
      <c r="E8" s="115" t="s">
        <v>30</v>
      </c>
      <c r="F8" s="115" t="s">
        <v>29</v>
      </c>
      <c r="G8" s="115" t="s">
        <v>30</v>
      </c>
      <c r="H8" s="33" t="s">
        <v>41</v>
      </c>
      <c r="I8" s="126">
        <v>0.0</v>
      </c>
      <c r="J8" s="33" t="s">
        <v>42</v>
      </c>
      <c r="K8" s="118">
        <v>26511.0</v>
      </c>
      <c r="L8" s="119" t="s">
        <v>43</v>
      </c>
      <c r="M8" s="120" t="s">
        <v>44</v>
      </c>
      <c r="N8" s="33" t="s">
        <v>35</v>
      </c>
      <c r="O8" s="120" t="s">
        <v>45</v>
      </c>
      <c r="P8" s="114">
        <v>629409.0</v>
      </c>
      <c r="Q8" s="114">
        <f t="shared" si="3"/>
        <v>5</v>
      </c>
      <c r="R8" s="129"/>
      <c r="S8" s="123">
        <v>45535.0</v>
      </c>
      <c r="T8" s="59"/>
      <c r="U8" s="124">
        <f t="shared" si="1"/>
        <v>52.12054795</v>
      </c>
      <c r="V8" s="125">
        <f t="shared" si="2"/>
        <v>53.99178082</v>
      </c>
      <c r="W8" s="108"/>
      <c r="X8" s="112"/>
      <c r="Y8" s="59"/>
      <c r="Z8" s="59"/>
    </row>
    <row r="9" ht="33.75" customHeight="1">
      <c r="A9" s="113" t="s">
        <v>37</v>
      </c>
      <c r="B9" s="114" t="s">
        <v>47</v>
      </c>
      <c r="C9" s="115" t="s">
        <v>39</v>
      </c>
      <c r="D9" s="33" t="s">
        <v>40</v>
      </c>
      <c r="E9" s="115" t="s">
        <v>30</v>
      </c>
      <c r="F9" s="115" t="s">
        <v>29</v>
      </c>
      <c r="G9" s="115" t="s">
        <v>30</v>
      </c>
      <c r="H9" s="33" t="s">
        <v>48</v>
      </c>
      <c r="I9" s="126">
        <v>0.0</v>
      </c>
      <c r="J9" s="33" t="s">
        <v>42</v>
      </c>
      <c r="K9" s="128">
        <v>27595.0</v>
      </c>
      <c r="L9" s="119" t="s">
        <v>49</v>
      </c>
      <c r="M9" s="120" t="s">
        <v>50</v>
      </c>
      <c r="N9" s="33" t="s">
        <v>35</v>
      </c>
      <c r="O9" s="120" t="s">
        <v>51</v>
      </c>
      <c r="P9" s="114">
        <v>691771.0</v>
      </c>
      <c r="Q9" s="114">
        <f t="shared" si="3"/>
        <v>6</v>
      </c>
      <c r="R9" s="129"/>
      <c r="S9" s="123">
        <v>45535.0</v>
      </c>
      <c r="T9" s="59"/>
      <c r="U9" s="124">
        <f t="shared" si="1"/>
        <v>49.15068493</v>
      </c>
      <c r="V9" s="125">
        <f t="shared" si="2"/>
        <v>51.02191781</v>
      </c>
      <c r="W9" s="108"/>
      <c r="X9" s="112"/>
      <c r="Y9" s="59"/>
      <c r="Z9" s="59"/>
    </row>
    <row r="10" ht="33.75" customHeight="1">
      <c r="A10" s="113" t="s">
        <v>25</v>
      </c>
      <c r="B10" s="114" t="s">
        <v>53</v>
      </c>
      <c r="C10" s="33" t="s">
        <v>140</v>
      </c>
      <c r="D10" s="33" t="s">
        <v>40</v>
      </c>
      <c r="E10" s="115" t="s">
        <v>30</v>
      </c>
      <c r="F10" s="115" t="s">
        <v>29</v>
      </c>
      <c r="G10" s="115" t="s">
        <v>30</v>
      </c>
      <c r="H10" s="33" t="s">
        <v>48</v>
      </c>
      <c r="I10" s="116" t="s">
        <v>141</v>
      </c>
      <c r="J10" s="33" t="s">
        <v>42</v>
      </c>
      <c r="K10" s="128">
        <v>21596.0</v>
      </c>
      <c r="L10" s="119" t="s">
        <v>142</v>
      </c>
      <c r="M10" s="120" t="s">
        <v>143</v>
      </c>
      <c r="N10" s="33" t="s">
        <v>56</v>
      </c>
      <c r="O10" s="120" t="s">
        <v>204</v>
      </c>
      <c r="P10" s="114">
        <v>600898.0</v>
      </c>
      <c r="Q10" s="114">
        <f t="shared" si="3"/>
        <v>7</v>
      </c>
      <c r="R10" s="122"/>
      <c r="S10" s="123">
        <v>45535.0</v>
      </c>
      <c r="T10" s="59"/>
      <c r="U10" s="124">
        <f t="shared" si="1"/>
        <v>65.58630137</v>
      </c>
      <c r="V10" s="125">
        <f t="shared" si="2"/>
        <v>67.45753425</v>
      </c>
      <c r="W10" s="112"/>
      <c r="X10" s="112"/>
      <c r="Y10" s="59"/>
      <c r="Z10" s="59"/>
    </row>
    <row r="11" ht="33.75" customHeight="1">
      <c r="A11" s="113" t="s">
        <v>25</v>
      </c>
      <c r="B11" s="114" t="s">
        <v>53</v>
      </c>
      <c r="C11" s="127" t="s">
        <v>54</v>
      </c>
      <c r="D11" s="115" t="s">
        <v>29</v>
      </c>
      <c r="E11" s="115" t="s">
        <v>30</v>
      </c>
      <c r="F11" s="115" t="s">
        <v>29</v>
      </c>
      <c r="G11" s="115" t="s">
        <v>30</v>
      </c>
      <c r="H11" s="33" t="s">
        <v>31</v>
      </c>
      <c r="I11" s="130"/>
      <c r="J11" s="33" t="s">
        <v>42</v>
      </c>
      <c r="K11" s="128">
        <v>12965.0</v>
      </c>
      <c r="L11" s="119" t="s">
        <v>146</v>
      </c>
      <c r="M11" s="120" t="s">
        <v>147</v>
      </c>
      <c r="N11" s="33" t="s">
        <v>56</v>
      </c>
      <c r="O11" s="120" t="s">
        <v>148</v>
      </c>
      <c r="P11" s="114">
        <v>626871.0</v>
      </c>
      <c r="Q11" s="114">
        <f t="shared" si="3"/>
        <v>8</v>
      </c>
      <c r="R11" s="129"/>
      <c r="S11" s="123">
        <v>45535.0</v>
      </c>
      <c r="T11" s="59"/>
      <c r="U11" s="124">
        <f t="shared" si="1"/>
        <v>89.23287671</v>
      </c>
      <c r="V11" s="125">
        <f t="shared" si="2"/>
        <v>91.10410959</v>
      </c>
      <c r="W11" s="112"/>
      <c r="X11" s="112"/>
      <c r="Y11" s="59"/>
      <c r="Z11" s="59"/>
    </row>
    <row r="12" ht="33.75" customHeight="1">
      <c r="A12" s="113" t="s">
        <v>25</v>
      </c>
      <c r="B12" s="114" t="s">
        <v>53</v>
      </c>
      <c r="C12" s="127" t="s">
        <v>54</v>
      </c>
      <c r="D12" s="33" t="s">
        <v>40</v>
      </c>
      <c r="E12" s="115" t="s">
        <v>30</v>
      </c>
      <c r="F12" s="115" t="s">
        <v>29</v>
      </c>
      <c r="G12" s="115" t="s">
        <v>30</v>
      </c>
      <c r="H12" s="33" t="s">
        <v>41</v>
      </c>
      <c r="I12" s="130"/>
      <c r="J12" s="33" t="s">
        <v>42</v>
      </c>
      <c r="K12" s="128">
        <v>17434.0</v>
      </c>
      <c r="L12" s="131"/>
      <c r="M12" s="120" t="s">
        <v>55</v>
      </c>
      <c r="N12" s="33" t="s">
        <v>56</v>
      </c>
      <c r="O12" s="120" t="s">
        <v>50</v>
      </c>
      <c r="P12" s="117">
        <v>600790.0</v>
      </c>
      <c r="Q12" s="114">
        <f t="shared" si="3"/>
        <v>9</v>
      </c>
      <c r="R12" s="129"/>
      <c r="S12" s="123">
        <v>45535.0</v>
      </c>
      <c r="T12" s="59"/>
      <c r="U12" s="124">
        <f t="shared" si="1"/>
        <v>76.9890411</v>
      </c>
      <c r="V12" s="125">
        <f t="shared" si="2"/>
        <v>78.86027397</v>
      </c>
      <c r="W12" s="112"/>
      <c r="X12" s="112"/>
      <c r="Y12" s="59"/>
      <c r="Z12" s="59"/>
    </row>
    <row r="13" ht="33.75" customHeight="1">
      <c r="A13" s="113" t="s">
        <v>25</v>
      </c>
      <c r="B13" s="114" t="s">
        <v>53</v>
      </c>
      <c r="C13" s="115" t="s">
        <v>39</v>
      </c>
      <c r="D13" s="33" t="s">
        <v>40</v>
      </c>
      <c r="E13" s="115" t="s">
        <v>30</v>
      </c>
      <c r="F13" s="115" t="s">
        <v>29</v>
      </c>
      <c r="G13" s="115" t="s">
        <v>30</v>
      </c>
      <c r="H13" s="33" t="s">
        <v>41</v>
      </c>
      <c r="I13" s="132" t="s">
        <v>150</v>
      </c>
      <c r="J13" s="33" t="s">
        <v>42</v>
      </c>
      <c r="K13" s="118">
        <v>26988.0</v>
      </c>
      <c r="L13" s="119" t="s">
        <v>151</v>
      </c>
      <c r="M13" s="120" t="s">
        <v>148</v>
      </c>
      <c r="N13" s="33" t="s">
        <v>35</v>
      </c>
      <c r="O13" s="120" t="s">
        <v>152</v>
      </c>
      <c r="P13" s="114">
        <v>629430.0</v>
      </c>
      <c r="Q13" s="114">
        <f t="shared" si="3"/>
        <v>10</v>
      </c>
      <c r="R13" s="122"/>
      <c r="S13" s="123">
        <v>45535.0</v>
      </c>
      <c r="T13" s="59"/>
      <c r="U13" s="124">
        <f t="shared" si="1"/>
        <v>50.81369863</v>
      </c>
      <c r="V13" s="125">
        <f t="shared" si="2"/>
        <v>52.68493151</v>
      </c>
      <c r="W13" s="108"/>
      <c r="X13" s="112"/>
      <c r="Y13" s="59"/>
      <c r="Z13" s="59"/>
    </row>
    <row r="14" ht="33.75" customHeight="1">
      <c r="A14" s="113" t="s">
        <v>25</v>
      </c>
      <c r="B14" s="133"/>
      <c r="C14" s="134" t="s">
        <v>76</v>
      </c>
      <c r="D14" s="33" t="s">
        <v>40</v>
      </c>
      <c r="E14" s="115" t="s">
        <v>30</v>
      </c>
      <c r="F14" s="115" t="s">
        <v>29</v>
      </c>
      <c r="G14" s="115" t="s">
        <v>30</v>
      </c>
      <c r="H14" s="33" t="s">
        <v>154</v>
      </c>
      <c r="I14" s="135" t="s">
        <v>155</v>
      </c>
      <c r="J14" s="33" t="s">
        <v>42</v>
      </c>
      <c r="K14" s="118">
        <v>29319.0</v>
      </c>
      <c r="L14" s="119" t="s">
        <v>156</v>
      </c>
      <c r="M14" s="120" t="s">
        <v>157</v>
      </c>
      <c r="N14" s="33" t="s">
        <v>35</v>
      </c>
      <c r="O14" s="120" t="s">
        <v>158</v>
      </c>
      <c r="P14" s="114">
        <v>73236.0</v>
      </c>
      <c r="Q14" s="114">
        <f t="shared" si="3"/>
        <v>11</v>
      </c>
      <c r="R14" s="122"/>
      <c r="S14" s="123">
        <v>45535.0</v>
      </c>
      <c r="T14" s="59"/>
      <c r="U14" s="124">
        <f t="shared" si="1"/>
        <v>44.42739726</v>
      </c>
      <c r="V14" s="125">
        <f t="shared" si="2"/>
        <v>46.29863014</v>
      </c>
      <c r="W14" s="108"/>
      <c r="X14" s="112"/>
      <c r="Y14" s="59"/>
      <c r="Z14" s="59"/>
    </row>
    <row r="15" ht="33.75" customHeight="1">
      <c r="A15" s="113" t="s">
        <v>25</v>
      </c>
      <c r="B15" s="114" t="s">
        <v>53</v>
      </c>
      <c r="C15" s="127" t="s">
        <v>54</v>
      </c>
      <c r="D15" s="33" t="s">
        <v>40</v>
      </c>
      <c r="E15" s="115" t="s">
        <v>30</v>
      </c>
      <c r="F15" s="115" t="s">
        <v>29</v>
      </c>
      <c r="G15" s="115" t="s">
        <v>30</v>
      </c>
      <c r="H15" s="33" t="s">
        <v>48</v>
      </c>
      <c r="I15" s="130"/>
      <c r="J15" s="33" t="s">
        <v>42</v>
      </c>
      <c r="K15" s="128">
        <v>23484.0</v>
      </c>
      <c r="L15" s="119" t="s">
        <v>205</v>
      </c>
      <c r="M15" s="120" t="s">
        <v>206</v>
      </c>
      <c r="N15" s="33" t="s">
        <v>56</v>
      </c>
      <c r="O15" s="120" t="s">
        <v>207</v>
      </c>
      <c r="P15" s="114">
        <v>629439.0</v>
      </c>
      <c r="Q15" s="114">
        <f t="shared" si="3"/>
        <v>12</v>
      </c>
      <c r="R15" s="129"/>
      <c r="S15" s="123">
        <v>45535.0</v>
      </c>
      <c r="T15" s="59"/>
      <c r="U15" s="124">
        <f t="shared" si="1"/>
        <v>60.41369863</v>
      </c>
      <c r="V15" s="125">
        <f t="shared" si="2"/>
        <v>62.28493151</v>
      </c>
      <c r="W15" s="112"/>
      <c r="X15" s="112"/>
      <c r="Y15" s="59"/>
      <c r="Z15" s="59"/>
    </row>
    <row r="16" ht="33.75" customHeight="1">
      <c r="A16" s="113" t="s">
        <v>25</v>
      </c>
      <c r="B16" s="114" t="s">
        <v>75</v>
      </c>
      <c r="C16" s="115" t="s">
        <v>39</v>
      </c>
      <c r="D16" s="33" t="s">
        <v>40</v>
      </c>
      <c r="E16" s="115" t="s">
        <v>30</v>
      </c>
      <c r="F16" s="115" t="s">
        <v>29</v>
      </c>
      <c r="G16" s="115" t="s">
        <v>30</v>
      </c>
      <c r="H16" s="33" t="s">
        <v>41</v>
      </c>
      <c r="I16" s="130"/>
      <c r="J16" s="33" t="s">
        <v>42</v>
      </c>
      <c r="K16" s="118">
        <v>29895.0</v>
      </c>
      <c r="L16" s="119" t="s">
        <v>160</v>
      </c>
      <c r="M16" s="120" t="s">
        <v>161</v>
      </c>
      <c r="N16" s="33" t="s">
        <v>35</v>
      </c>
      <c r="O16" s="120" t="s">
        <v>162</v>
      </c>
      <c r="P16" s="114">
        <v>698781.0</v>
      </c>
      <c r="Q16" s="114">
        <f t="shared" si="3"/>
        <v>13</v>
      </c>
      <c r="R16" s="129"/>
      <c r="S16" s="123">
        <v>45535.0</v>
      </c>
      <c r="T16" s="59"/>
      <c r="U16" s="124">
        <f t="shared" si="1"/>
        <v>42.84931507</v>
      </c>
      <c r="V16" s="125">
        <f t="shared" si="2"/>
        <v>44.72054795</v>
      </c>
      <c r="W16" s="108"/>
      <c r="X16" s="112"/>
      <c r="Y16" s="59"/>
      <c r="Z16" s="59"/>
    </row>
    <row r="17" ht="33.75" customHeight="1">
      <c r="A17" s="113" t="s">
        <v>25</v>
      </c>
      <c r="B17" s="114" t="s">
        <v>27</v>
      </c>
      <c r="C17" s="127" t="s">
        <v>54</v>
      </c>
      <c r="D17" s="33" t="s">
        <v>40</v>
      </c>
      <c r="E17" s="115" t="s">
        <v>30</v>
      </c>
      <c r="F17" s="115" t="s">
        <v>29</v>
      </c>
      <c r="G17" s="115" t="s">
        <v>30</v>
      </c>
      <c r="H17" s="33" t="s">
        <v>48</v>
      </c>
      <c r="I17" s="116" t="s">
        <v>164</v>
      </c>
      <c r="J17" s="33" t="s">
        <v>42</v>
      </c>
      <c r="K17" s="118">
        <v>21551.0</v>
      </c>
      <c r="L17" s="119" t="s">
        <v>165</v>
      </c>
      <c r="M17" s="120" t="s">
        <v>80</v>
      </c>
      <c r="N17" s="33" t="s">
        <v>56</v>
      </c>
      <c r="O17" s="120" t="s">
        <v>166</v>
      </c>
      <c r="P17" s="114">
        <v>697260.0</v>
      </c>
      <c r="Q17" s="114">
        <f t="shared" si="3"/>
        <v>14</v>
      </c>
      <c r="R17" s="122"/>
      <c r="S17" s="123">
        <v>45535.0</v>
      </c>
      <c r="T17" s="59"/>
      <c r="U17" s="124">
        <f t="shared" si="1"/>
        <v>65.70958904</v>
      </c>
      <c r="V17" s="125">
        <f t="shared" si="2"/>
        <v>67.58082192</v>
      </c>
      <c r="W17" s="112"/>
      <c r="X17" s="112"/>
      <c r="Y17" s="59"/>
      <c r="Z17" s="59"/>
    </row>
    <row r="18" ht="33.75" customHeight="1">
      <c r="A18" s="113" t="s">
        <v>25</v>
      </c>
      <c r="B18" s="114" t="s">
        <v>27</v>
      </c>
      <c r="C18" s="127" t="s">
        <v>54</v>
      </c>
      <c r="D18" s="33" t="s">
        <v>40</v>
      </c>
      <c r="E18" s="115" t="s">
        <v>30</v>
      </c>
      <c r="F18" s="115" t="s">
        <v>29</v>
      </c>
      <c r="G18" s="115" t="s">
        <v>30</v>
      </c>
      <c r="H18" s="136" t="s">
        <v>58</v>
      </c>
      <c r="I18" s="130"/>
      <c r="J18" s="33" t="s">
        <v>42</v>
      </c>
      <c r="K18" s="128">
        <v>20261.0</v>
      </c>
      <c r="L18" s="119" t="s">
        <v>59</v>
      </c>
      <c r="M18" s="120" t="s">
        <v>60</v>
      </c>
      <c r="N18" s="33" t="s">
        <v>56</v>
      </c>
      <c r="O18" s="120" t="s">
        <v>61</v>
      </c>
      <c r="P18" s="114">
        <v>696347.0</v>
      </c>
      <c r="Q18" s="114">
        <f t="shared" si="3"/>
        <v>15</v>
      </c>
      <c r="R18" s="129"/>
      <c r="S18" s="123">
        <v>45535.0</v>
      </c>
      <c r="T18" s="59"/>
      <c r="U18" s="124">
        <f t="shared" si="1"/>
        <v>69.24383562</v>
      </c>
      <c r="V18" s="125">
        <f t="shared" si="2"/>
        <v>71.11506849</v>
      </c>
      <c r="W18" s="112"/>
      <c r="X18" s="112"/>
      <c r="Y18" s="59"/>
      <c r="Z18" s="59"/>
    </row>
    <row r="19" ht="33.75" customHeight="1">
      <c r="A19" s="113" t="s">
        <v>25</v>
      </c>
      <c r="B19" s="117" t="s">
        <v>168</v>
      </c>
      <c r="C19" s="115" t="s">
        <v>39</v>
      </c>
      <c r="D19" s="33" t="s">
        <v>40</v>
      </c>
      <c r="E19" s="115" t="s">
        <v>30</v>
      </c>
      <c r="F19" s="115" t="s">
        <v>29</v>
      </c>
      <c r="G19" s="115" t="s">
        <v>30</v>
      </c>
      <c r="H19" s="33" t="s">
        <v>41</v>
      </c>
      <c r="I19" s="130"/>
      <c r="J19" s="33" t="s">
        <v>42</v>
      </c>
      <c r="K19" s="128">
        <v>27784.0</v>
      </c>
      <c r="L19" s="119" t="s">
        <v>169</v>
      </c>
      <c r="M19" s="120" t="s">
        <v>170</v>
      </c>
      <c r="N19" s="33" t="s">
        <v>35</v>
      </c>
      <c r="O19" s="120" t="s">
        <v>171</v>
      </c>
      <c r="P19" s="114">
        <v>697262.0</v>
      </c>
      <c r="Q19" s="114">
        <f t="shared" si="3"/>
        <v>16</v>
      </c>
      <c r="R19" s="129"/>
      <c r="S19" s="123">
        <v>45535.0</v>
      </c>
      <c r="T19" s="59"/>
      <c r="U19" s="124">
        <f t="shared" si="1"/>
        <v>48.63287671</v>
      </c>
      <c r="V19" s="125">
        <f t="shared" si="2"/>
        <v>50.50410959</v>
      </c>
      <c r="W19" s="108"/>
      <c r="X19" s="112"/>
      <c r="Y19" s="59"/>
      <c r="Z19" s="59"/>
    </row>
    <row r="20" ht="33.75" customHeight="1">
      <c r="A20" s="113" t="s">
        <v>25</v>
      </c>
      <c r="B20" s="114" t="s">
        <v>53</v>
      </c>
      <c r="C20" s="127" t="s">
        <v>54</v>
      </c>
      <c r="D20" s="33" t="s">
        <v>40</v>
      </c>
      <c r="E20" s="115" t="s">
        <v>30</v>
      </c>
      <c r="F20" s="115" t="s">
        <v>29</v>
      </c>
      <c r="G20" s="115" t="s">
        <v>30</v>
      </c>
      <c r="H20" s="33" t="s">
        <v>63</v>
      </c>
      <c r="I20" s="116" t="s">
        <v>64</v>
      </c>
      <c r="J20" s="33" t="s">
        <v>42</v>
      </c>
      <c r="K20" s="128">
        <v>19786.0</v>
      </c>
      <c r="L20" s="119" t="s">
        <v>65</v>
      </c>
      <c r="M20" s="120" t="s">
        <v>66</v>
      </c>
      <c r="N20" s="33" t="s">
        <v>56</v>
      </c>
      <c r="O20" s="120" t="s">
        <v>67</v>
      </c>
      <c r="P20" s="114">
        <v>633185.0</v>
      </c>
      <c r="Q20" s="114">
        <f t="shared" si="3"/>
        <v>17</v>
      </c>
      <c r="R20" s="122"/>
      <c r="S20" s="123">
        <v>45535.0</v>
      </c>
      <c r="T20" s="59"/>
      <c r="U20" s="124">
        <f t="shared" si="1"/>
        <v>70.54520548</v>
      </c>
      <c r="V20" s="125">
        <f t="shared" si="2"/>
        <v>72.41643836</v>
      </c>
      <c r="W20" s="112"/>
      <c r="X20" s="112"/>
      <c r="Y20" s="59"/>
      <c r="Z20" s="59"/>
    </row>
    <row r="21" ht="33.75" customHeight="1">
      <c r="A21" s="113" t="s">
        <v>25</v>
      </c>
      <c r="B21" s="114" t="s">
        <v>69</v>
      </c>
      <c r="C21" s="115" t="s">
        <v>39</v>
      </c>
      <c r="D21" s="33" t="s">
        <v>40</v>
      </c>
      <c r="E21" s="115" t="s">
        <v>30</v>
      </c>
      <c r="F21" s="115" t="s">
        <v>29</v>
      </c>
      <c r="G21" s="115" t="s">
        <v>30</v>
      </c>
      <c r="H21" s="33" t="s">
        <v>48</v>
      </c>
      <c r="I21" s="130"/>
      <c r="J21" s="33" t="s">
        <v>42</v>
      </c>
      <c r="K21" s="128">
        <v>23531.0</v>
      </c>
      <c r="L21" s="119" t="s">
        <v>71</v>
      </c>
      <c r="M21" s="120" t="s">
        <v>72</v>
      </c>
      <c r="N21" s="33" t="s">
        <v>56</v>
      </c>
      <c r="O21" s="120" t="s">
        <v>73</v>
      </c>
      <c r="P21" s="114">
        <v>626887.0</v>
      </c>
      <c r="Q21" s="114">
        <f t="shared" si="3"/>
        <v>18</v>
      </c>
      <c r="R21" s="122"/>
      <c r="S21" s="123">
        <v>45535.0</v>
      </c>
      <c r="T21" s="59"/>
      <c r="U21" s="124">
        <f t="shared" si="1"/>
        <v>60.28493151</v>
      </c>
      <c r="V21" s="125">
        <f t="shared" si="2"/>
        <v>62.15616438</v>
      </c>
      <c r="W21" s="112"/>
      <c r="X21" s="112"/>
      <c r="Y21" s="59"/>
      <c r="Z21" s="59"/>
    </row>
    <row r="22" ht="33.75" customHeight="1">
      <c r="A22" s="113" t="s">
        <v>25</v>
      </c>
      <c r="B22" s="114" t="s">
        <v>27</v>
      </c>
      <c r="C22" s="127" t="s">
        <v>54</v>
      </c>
      <c r="D22" s="33" t="s">
        <v>40</v>
      </c>
      <c r="E22" s="115" t="s">
        <v>30</v>
      </c>
      <c r="F22" s="115" t="s">
        <v>29</v>
      </c>
      <c r="G22" s="115" t="s">
        <v>30</v>
      </c>
      <c r="H22" s="33" t="s">
        <v>48</v>
      </c>
      <c r="I22" s="130"/>
      <c r="J22" s="33" t="s">
        <v>42</v>
      </c>
      <c r="K22" s="118">
        <v>19299.0</v>
      </c>
      <c r="L22" s="119" t="s">
        <v>173</v>
      </c>
      <c r="M22" s="120" t="s">
        <v>174</v>
      </c>
      <c r="N22" s="33" t="s">
        <v>56</v>
      </c>
      <c r="O22" s="120" t="s">
        <v>175</v>
      </c>
      <c r="P22" s="114">
        <v>629414.0</v>
      </c>
      <c r="Q22" s="114">
        <f t="shared" si="3"/>
        <v>19</v>
      </c>
      <c r="R22" s="129"/>
      <c r="S22" s="123">
        <v>45535.0</v>
      </c>
      <c r="T22" s="59"/>
      <c r="U22" s="124">
        <f t="shared" si="1"/>
        <v>71.87945205</v>
      </c>
      <c r="V22" s="125">
        <f t="shared" si="2"/>
        <v>73.75068493</v>
      </c>
      <c r="W22" s="112"/>
      <c r="X22" s="112"/>
      <c r="Y22" s="59"/>
      <c r="Z22" s="59"/>
    </row>
    <row r="23" ht="33.75" customHeight="1">
      <c r="A23" s="113" t="s">
        <v>25</v>
      </c>
      <c r="B23" s="114" t="s">
        <v>47</v>
      </c>
      <c r="C23" s="115" t="s">
        <v>39</v>
      </c>
      <c r="D23" s="115" t="s">
        <v>29</v>
      </c>
      <c r="E23" s="115" t="s">
        <v>30</v>
      </c>
      <c r="F23" s="115" t="s">
        <v>29</v>
      </c>
      <c r="G23" s="115" t="s">
        <v>30</v>
      </c>
      <c r="H23" s="33" t="s">
        <v>63</v>
      </c>
      <c r="I23" s="135" t="s">
        <v>177</v>
      </c>
      <c r="J23" s="33" t="s">
        <v>42</v>
      </c>
      <c r="K23" s="128">
        <v>22526.0</v>
      </c>
      <c r="L23" s="137" t="s">
        <v>178</v>
      </c>
      <c r="M23" s="120" t="s">
        <v>179</v>
      </c>
      <c r="N23" s="33" t="s">
        <v>56</v>
      </c>
      <c r="O23" s="120" t="s">
        <v>180</v>
      </c>
      <c r="P23" s="114">
        <v>626872.0</v>
      </c>
      <c r="Q23" s="114">
        <f t="shared" si="3"/>
        <v>20</v>
      </c>
      <c r="R23" s="122"/>
      <c r="S23" s="123">
        <v>45535.0</v>
      </c>
      <c r="T23" s="59"/>
      <c r="U23" s="124">
        <f t="shared" si="1"/>
        <v>63.03835616</v>
      </c>
      <c r="V23" s="125">
        <f t="shared" si="2"/>
        <v>64.90958904</v>
      </c>
      <c r="W23" s="112"/>
      <c r="X23" s="112"/>
      <c r="Y23" s="59"/>
      <c r="Z23" s="59"/>
    </row>
    <row r="24" ht="33.75" customHeight="1">
      <c r="A24" s="138" t="s">
        <v>25</v>
      </c>
      <c r="B24" s="114" t="s">
        <v>27</v>
      </c>
      <c r="C24" s="127" t="s">
        <v>54</v>
      </c>
      <c r="D24" s="42" t="s">
        <v>40</v>
      </c>
      <c r="E24" s="115" t="s">
        <v>30</v>
      </c>
      <c r="F24" s="115" t="s">
        <v>29</v>
      </c>
      <c r="G24" s="115" t="s">
        <v>30</v>
      </c>
      <c r="H24" s="42" t="s">
        <v>48</v>
      </c>
      <c r="I24" s="139"/>
      <c r="J24" s="42" t="s">
        <v>42</v>
      </c>
      <c r="K24" s="140">
        <v>27546.0</v>
      </c>
      <c r="L24" s="137" t="s">
        <v>181</v>
      </c>
      <c r="M24" s="141" t="s">
        <v>182</v>
      </c>
      <c r="N24" s="42" t="s">
        <v>35</v>
      </c>
      <c r="O24" s="142" t="s">
        <v>183</v>
      </c>
      <c r="P24" s="138">
        <v>696346.0</v>
      </c>
      <c r="Q24" s="138">
        <f t="shared" si="3"/>
        <v>21</v>
      </c>
      <c r="R24" s="129"/>
      <c r="S24" s="123">
        <v>45535.0</v>
      </c>
      <c r="T24" s="59"/>
      <c r="U24" s="124">
        <f t="shared" si="1"/>
        <v>49.28493151</v>
      </c>
      <c r="V24" s="125">
        <f t="shared" si="2"/>
        <v>51.15616438</v>
      </c>
      <c r="W24" s="108"/>
      <c r="X24" s="112"/>
      <c r="Y24" s="59"/>
      <c r="Z24" s="59"/>
    </row>
    <row r="25" ht="33.75" customHeight="1">
      <c r="A25" s="138" t="s">
        <v>25</v>
      </c>
      <c r="B25" s="143" t="s">
        <v>75</v>
      </c>
      <c r="C25" s="134" t="s">
        <v>76</v>
      </c>
      <c r="D25" s="42" t="s">
        <v>40</v>
      </c>
      <c r="E25" s="115" t="s">
        <v>30</v>
      </c>
      <c r="F25" s="115" t="s">
        <v>29</v>
      </c>
      <c r="G25" s="115" t="s">
        <v>30</v>
      </c>
      <c r="H25" s="42" t="s">
        <v>41</v>
      </c>
      <c r="I25" s="135" t="s">
        <v>77</v>
      </c>
      <c r="J25" s="42" t="s">
        <v>42</v>
      </c>
      <c r="K25" s="144">
        <v>30189.0</v>
      </c>
      <c r="L25" s="137" t="s">
        <v>78</v>
      </c>
      <c r="M25" s="141" t="s">
        <v>79</v>
      </c>
      <c r="N25" s="42" t="s">
        <v>35</v>
      </c>
      <c r="O25" s="142" t="s">
        <v>80</v>
      </c>
      <c r="P25" s="121">
        <v>699653.0</v>
      </c>
      <c r="Q25" s="138">
        <f t="shared" si="3"/>
        <v>22</v>
      </c>
      <c r="R25" s="122"/>
      <c r="S25" s="123">
        <v>45535.0</v>
      </c>
      <c r="T25" s="59"/>
      <c r="U25" s="124">
        <f t="shared" si="1"/>
        <v>42.04383562</v>
      </c>
      <c r="V25" s="125">
        <f t="shared" si="2"/>
        <v>43.91506849</v>
      </c>
      <c r="W25" s="108"/>
      <c r="X25" s="112"/>
      <c r="Y25" s="59"/>
      <c r="Z25" s="59"/>
    </row>
    <row r="26" ht="33.75" customHeight="1">
      <c r="A26" s="138" t="s">
        <v>25</v>
      </c>
      <c r="B26" s="114" t="s">
        <v>27</v>
      </c>
      <c r="C26" s="115" t="s">
        <v>39</v>
      </c>
      <c r="D26" s="42" t="s">
        <v>40</v>
      </c>
      <c r="E26" s="115" t="s">
        <v>30</v>
      </c>
      <c r="F26" s="115" t="s">
        <v>29</v>
      </c>
      <c r="G26" s="115" t="s">
        <v>30</v>
      </c>
      <c r="H26" s="42" t="s">
        <v>41</v>
      </c>
      <c r="I26" s="139"/>
      <c r="J26" s="42" t="s">
        <v>42</v>
      </c>
      <c r="K26" s="140">
        <v>26665.0</v>
      </c>
      <c r="L26" s="145" t="s">
        <v>82</v>
      </c>
      <c r="M26" s="146" t="s">
        <v>83</v>
      </c>
      <c r="N26" s="42" t="s">
        <v>35</v>
      </c>
      <c r="O26" s="142" t="s">
        <v>84</v>
      </c>
      <c r="P26" s="143">
        <v>632609.0</v>
      </c>
      <c r="Q26" s="138">
        <f t="shared" si="3"/>
        <v>23</v>
      </c>
      <c r="R26" s="129"/>
      <c r="S26" s="123">
        <v>45535.0</v>
      </c>
      <c r="T26" s="59"/>
      <c r="U26" s="124">
        <f t="shared" si="1"/>
        <v>51.69863014</v>
      </c>
      <c r="V26" s="125">
        <f t="shared" si="2"/>
        <v>53.56986301</v>
      </c>
      <c r="W26" s="108"/>
      <c r="X26" s="112"/>
      <c r="Y26" s="59"/>
      <c r="Z26" s="59"/>
    </row>
    <row r="27" ht="33.75" customHeight="1">
      <c r="A27" s="138" t="s">
        <v>25</v>
      </c>
      <c r="B27" s="114" t="s">
        <v>27</v>
      </c>
      <c r="C27" s="115" t="s">
        <v>39</v>
      </c>
      <c r="D27" s="42" t="s">
        <v>40</v>
      </c>
      <c r="E27" s="115" t="s">
        <v>30</v>
      </c>
      <c r="F27" s="115" t="s">
        <v>29</v>
      </c>
      <c r="G27" s="115" t="s">
        <v>30</v>
      </c>
      <c r="H27" s="42" t="s">
        <v>41</v>
      </c>
      <c r="I27" s="135" t="s">
        <v>185</v>
      </c>
      <c r="J27" s="42" t="s">
        <v>42</v>
      </c>
      <c r="K27" s="140">
        <v>26511.0</v>
      </c>
      <c r="L27" s="147" t="s">
        <v>186</v>
      </c>
      <c r="M27" s="148" t="s">
        <v>187</v>
      </c>
      <c r="N27" s="42" t="s">
        <v>35</v>
      </c>
      <c r="O27" s="142" t="s">
        <v>188</v>
      </c>
      <c r="P27" s="121">
        <v>626847.0</v>
      </c>
      <c r="Q27" s="138">
        <f t="shared" si="3"/>
        <v>24</v>
      </c>
      <c r="R27" s="122"/>
      <c r="S27" s="123">
        <v>45535.0</v>
      </c>
      <c r="T27" s="59"/>
      <c r="U27" s="124">
        <f t="shared" si="1"/>
        <v>52.12054795</v>
      </c>
      <c r="V27" s="125">
        <f t="shared" si="2"/>
        <v>53.99178082</v>
      </c>
      <c r="W27" s="108"/>
      <c r="X27" s="112"/>
      <c r="Y27" s="59"/>
      <c r="Z27" s="59"/>
    </row>
    <row r="28" ht="33.75" customHeight="1">
      <c r="A28" s="138" t="s">
        <v>25</v>
      </c>
      <c r="B28" s="121" t="s">
        <v>53</v>
      </c>
      <c r="C28" s="134" t="s">
        <v>76</v>
      </c>
      <c r="D28" s="42" t="s">
        <v>40</v>
      </c>
      <c r="E28" s="115" t="s">
        <v>30</v>
      </c>
      <c r="F28" s="115" t="s">
        <v>29</v>
      </c>
      <c r="G28" s="115" t="s">
        <v>30</v>
      </c>
      <c r="H28" s="42" t="s">
        <v>31</v>
      </c>
      <c r="I28" s="135" t="s">
        <v>86</v>
      </c>
      <c r="J28" s="42" t="s">
        <v>42</v>
      </c>
      <c r="K28" s="140">
        <v>29543.0</v>
      </c>
      <c r="L28" s="137" t="s">
        <v>87</v>
      </c>
      <c r="M28" s="141" t="s">
        <v>88</v>
      </c>
      <c r="N28" s="42" t="s">
        <v>35</v>
      </c>
      <c r="O28" s="149" t="s">
        <v>89</v>
      </c>
      <c r="P28" s="121">
        <v>76290.0</v>
      </c>
      <c r="Q28" s="138">
        <f t="shared" si="3"/>
        <v>25</v>
      </c>
      <c r="R28" s="122"/>
      <c r="S28" s="123">
        <v>45535.0</v>
      </c>
      <c r="T28" s="59"/>
      <c r="U28" s="124">
        <f t="shared" si="1"/>
        <v>43.81369863</v>
      </c>
      <c r="V28" s="125">
        <f t="shared" si="2"/>
        <v>45.68493151</v>
      </c>
      <c r="W28" s="112"/>
      <c r="X28" s="112"/>
      <c r="Y28" s="59"/>
      <c r="Z28" s="59"/>
    </row>
    <row r="29" ht="33.75" customHeight="1">
      <c r="A29" s="138" t="s">
        <v>25</v>
      </c>
      <c r="B29" s="121" t="s">
        <v>27</v>
      </c>
      <c r="C29" s="134" t="s">
        <v>76</v>
      </c>
      <c r="D29" s="42" t="s">
        <v>40</v>
      </c>
      <c r="E29" s="115" t="s">
        <v>30</v>
      </c>
      <c r="F29" s="115" t="s">
        <v>29</v>
      </c>
      <c r="G29" s="115" t="s">
        <v>30</v>
      </c>
      <c r="H29" s="33" t="s">
        <v>48</v>
      </c>
      <c r="I29" s="139"/>
      <c r="J29" s="42" t="s">
        <v>42</v>
      </c>
      <c r="K29" s="140">
        <v>25571.0</v>
      </c>
      <c r="L29" s="147" t="s">
        <v>190</v>
      </c>
      <c r="M29" s="148" t="s">
        <v>191</v>
      </c>
      <c r="N29" s="42" t="s">
        <v>35</v>
      </c>
      <c r="O29" s="149" t="s">
        <v>192</v>
      </c>
      <c r="P29" s="121">
        <v>700623.0</v>
      </c>
      <c r="Q29" s="138">
        <f t="shared" si="3"/>
        <v>26</v>
      </c>
      <c r="R29" s="129"/>
      <c r="S29" s="123">
        <v>45535.0</v>
      </c>
      <c r="T29" s="59"/>
      <c r="U29" s="124">
        <f t="shared" si="1"/>
        <v>54.69589041</v>
      </c>
      <c r="V29" s="125">
        <f t="shared" si="2"/>
        <v>56.56712329</v>
      </c>
      <c r="W29" s="112"/>
      <c r="X29" s="112"/>
      <c r="Y29" s="59"/>
      <c r="Z29" s="59"/>
    </row>
    <row r="30" ht="33.75" customHeight="1">
      <c r="A30" s="138" t="s">
        <v>25</v>
      </c>
      <c r="B30" s="138" t="s">
        <v>47</v>
      </c>
      <c r="C30" s="134" t="s">
        <v>76</v>
      </c>
      <c r="D30" s="42" t="s">
        <v>40</v>
      </c>
      <c r="E30" s="115" t="s">
        <v>30</v>
      </c>
      <c r="F30" s="115" t="s">
        <v>29</v>
      </c>
      <c r="G30" s="115" t="s">
        <v>30</v>
      </c>
      <c r="H30" s="42" t="s">
        <v>31</v>
      </c>
      <c r="I30" s="150" t="s">
        <v>91</v>
      </c>
      <c r="J30" s="42" t="s">
        <v>42</v>
      </c>
      <c r="K30" s="140">
        <v>22937.0</v>
      </c>
      <c r="L30" s="147" t="s">
        <v>92</v>
      </c>
      <c r="M30" s="148" t="s">
        <v>93</v>
      </c>
      <c r="N30" s="42" t="s">
        <v>56</v>
      </c>
      <c r="O30" s="149" t="s">
        <v>94</v>
      </c>
      <c r="P30" s="143">
        <v>701872.0</v>
      </c>
      <c r="Q30" s="138">
        <f t="shared" si="3"/>
        <v>27</v>
      </c>
      <c r="R30" s="122"/>
      <c r="S30" s="123">
        <v>45535.0</v>
      </c>
      <c r="T30" s="59"/>
      <c r="U30" s="124">
        <f t="shared" si="1"/>
        <v>61.91232877</v>
      </c>
      <c r="V30" s="125">
        <f t="shared" si="2"/>
        <v>63.78356164</v>
      </c>
      <c r="W30" s="112"/>
      <c r="X30" s="108">
        <v>13.0</v>
      </c>
      <c r="Y30" s="59"/>
      <c r="Z30" s="59"/>
    </row>
    <row r="31" ht="33.75" customHeight="1">
      <c r="A31" s="138" t="s">
        <v>25</v>
      </c>
      <c r="B31" s="138" t="s">
        <v>47</v>
      </c>
      <c r="C31" s="134" t="s">
        <v>115</v>
      </c>
      <c r="D31" s="115" t="s">
        <v>29</v>
      </c>
      <c r="E31" s="115" t="s">
        <v>30</v>
      </c>
      <c r="F31" s="115" t="s">
        <v>29</v>
      </c>
      <c r="G31" s="115" t="s">
        <v>30</v>
      </c>
      <c r="H31" s="151" t="s">
        <v>116</v>
      </c>
      <c r="I31" s="150" t="s">
        <v>117</v>
      </c>
      <c r="J31" s="42" t="s">
        <v>42</v>
      </c>
      <c r="K31" s="152">
        <v>28888.0</v>
      </c>
      <c r="L31" s="137" t="s">
        <v>118</v>
      </c>
      <c r="M31" s="141" t="s">
        <v>119</v>
      </c>
      <c r="N31" s="42" t="s">
        <v>35</v>
      </c>
      <c r="O31" s="149" t="s">
        <v>120</v>
      </c>
      <c r="P31" s="143">
        <v>696463.0</v>
      </c>
      <c r="Q31" s="138">
        <f t="shared" si="3"/>
        <v>28</v>
      </c>
      <c r="R31" s="122"/>
      <c r="S31" s="123">
        <v>45535.0</v>
      </c>
      <c r="T31" s="59"/>
      <c r="U31" s="124">
        <f t="shared" si="1"/>
        <v>45.60821918</v>
      </c>
      <c r="V31" s="125">
        <f t="shared" si="2"/>
        <v>47.47945205</v>
      </c>
      <c r="W31" s="112"/>
      <c r="X31" s="108">
        <v>13.0</v>
      </c>
      <c r="Y31" s="59"/>
      <c r="Z31" s="59"/>
    </row>
    <row r="32" ht="33.0" customHeight="1">
      <c r="A32" s="113" t="s">
        <v>25</v>
      </c>
      <c r="B32" s="117" t="s">
        <v>53</v>
      </c>
      <c r="C32" s="127" t="s">
        <v>54</v>
      </c>
      <c r="D32" s="115" t="s">
        <v>40</v>
      </c>
      <c r="E32" s="115" t="s">
        <v>30</v>
      </c>
      <c r="F32" s="115" t="s">
        <v>29</v>
      </c>
      <c r="G32" s="115" t="s">
        <v>30</v>
      </c>
      <c r="H32" s="33" t="s">
        <v>31</v>
      </c>
      <c r="I32" s="33" t="s">
        <v>40</v>
      </c>
      <c r="J32" s="33" t="s">
        <v>42</v>
      </c>
      <c r="K32" s="128">
        <v>22922.0</v>
      </c>
      <c r="L32" s="119" t="s">
        <v>193</v>
      </c>
      <c r="M32" s="120" t="s">
        <v>194</v>
      </c>
      <c r="N32" s="33" t="s">
        <v>56</v>
      </c>
      <c r="O32" s="120" t="s">
        <v>195</v>
      </c>
      <c r="P32" s="121"/>
      <c r="Q32" s="138">
        <f t="shared" si="3"/>
        <v>29</v>
      </c>
      <c r="R32" s="122"/>
      <c r="S32" s="123">
        <v>45535.0</v>
      </c>
      <c r="T32" s="59"/>
      <c r="U32" s="124">
        <f t="shared" si="1"/>
        <v>61.95342466</v>
      </c>
      <c r="V32" s="125">
        <f t="shared" si="2"/>
        <v>63.82465753</v>
      </c>
      <c r="W32" s="112"/>
      <c r="X32" s="108">
        <v>13.0</v>
      </c>
      <c r="Y32" s="99"/>
      <c r="Z32" s="99"/>
    </row>
    <row r="33" ht="33.0" customHeight="1">
      <c r="A33" s="38" t="s">
        <v>25</v>
      </c>
      <c r="B33" s="153" t="s">
        <v>53</v>
      </c>
      <c r="C33" s="154" t="s">
        <v>54</v>
      </c>
      <c r="D33" s="155" t="s">
        <v>96</v>
      </c>
      <c r="E33" s="155" t="s">
        <v>97</v>
      </c>
      <c r="F33" s="155" t="s">
        <v>98</v>
      </c>
      <c r="G33" s="154" t="s">
        <v>30</v>
      </c>
      <c r="H33" s="156" t="s">
        <v>111</v>
      </c>
      <c r="I33" s="156" t="s">
        <v>40</v>
      </c>
      <c r="J33" s="156" t="s">
        <v>42</v>
      </c>
      <c r="K33" s="70">
        <v>18272.0</v>
      </c>
      <c r="L33" s="157" t="s">
        <v>197</v>
      </c>
      <c r="M33" s="158" t="s">
        <v>198</v>
      </c>
      <c r="N33" s="156" t="s">
        <v>56</v>
      </c>
      <c r="O33" s="158" t="s">
        <v>199</v>
      </c>
      <c r="P33" s="159"/>
      <c r="Q33" s="138">
        <f t="shared" si="3"/>
        <v>30</v>
      </c>
      <c r="R33" s="122"/>
      <c r="S33" s="123">
        <v>45535.0</v>
      </c>
      <c r="T33" s="59"/>
      <c r="U33" s="124">
        <f t="shared" si="1"/>
        <v>74.69315068</v>
      </c>
      <c r="V33" s="125">
        <f t="shared" si="2"/>
        <v>76.56438356</v>
      </c>
      <c r="W33" s="112"/>
      <c r="X33" s="108">
        <v>13.0</v>
      </c>
      <c r="Y33" s="99"/>
      <c r="Z33" s="99"/>
    </row>
    <row r="34" ht="33.0" customHeight="1">
      <c r="A34" s="38" t="s">
        <v>25</v>
      </c>
      <c r="B34" s="153" t="s">
        <v>53</v>
      </c>
      <c r="C34" s="134" t="s">
        <v>76</v>
      </c>
      <c r="D34" s="155" t="s">
        <v>96</v>
      </c>
      <c r="E34" s="155" t="s">
        <v>97</v>
      </c>
      <c r="F34" s="155" t="s">
        <v>98</v>
      </c>
      <c r="G34" s="154" t="s">
        <v>30</v>
      </c>
      <c r="H34" s="160" t="s">
        <v>99</v>
      </c>
      <c r="I34" s="150" t="s">
        <v>100</v>
      </c>
      <c r="J34" s="156" t="s">
        <v>42</v>
      </c>
      <c r="K34" s="140">
        <v>30033.0</v>
      </c>
      <c r="L34" s="169" t="s">
        <v>101</v>
      </c>
      <c r="M34" s="120" t="s">
        <v>50</v>
      </c>
      <c r="N34" s="42" t="s">
        <v>35</v>
      </c>
      <c r="O34" s="158" t="s">
        <v>102</v>
      </c>
      <c r="P34" s="159"/>
      <c r="Q34" s="138">
        <f t="shared" si="3"/>
        <v>31</v>
      </c>
      <c r="R34" s="122"/>
      <c r="S34" s="123">
        <v>45535.0</v>
      </c>
      <c r="T34" s="59"/>
      <c r="U34" s="124">
        <f t="shared" si="1"/>
        <v>42.47123288</v>
      </c>
      <c r="V34" s="125">
        <f t="shared" si="2"/>
        <v>44.34246575</v>
      </c>
      <c r="W34" s="112"/>
      <c r="X34" s="108">
        <v>13.0</v>
      </c>
      <c r="Y34" s="99"/>
      <c r="Z34" s="99"/>
    </row>
    <row r="35" ht="32.25" customHeight="1">
      <c r="A35" s="38" t="s">
        <v>25</v>
      </c>
      <c r="B35" s="153" t="s">
        <v>53</v>
      </c>
      <c r="C35" s="127" t="s">
        <v>54</v>
      </c>
      <c r="D35" s="155" t="s">
        <v>96</v>
      </c>
      <c r="E35" s="155" t="s">
        <v>97</v>
      </c>
      <c r="F35" s="155" t="s">
        <v>98</v>
      </c>
      <c r="G35" s="154" t="s">
        <v>30</v>
      </c>
      <c r="H35" s="160" t="s">
        <v>104</v>
      </c>
      <c r="I35" s="150" t="s">
        <v>105</v>
      </c>
      <c r="J35" s="156" t="s">
        <v>42</v>
      </c>
      <c r="K35" s="140">
        <v>13473.0</v>
      </c>
      <c r="L35" s="169" t="s">
        <v>106</v>
      </c>
      <c r="M35" s="158" t="s">
        <v>107</v>
      </c>
      <c r="N35" s="156" t="s">
        <v>56</v>
      </c>
      <c r="O35" s="158" t="s">
        <v>108</v>
      </c>
      <c r="P35" s="159"/>
      <c r="Q35" s="138">
        <f t="shared" si="3"/>
        <v>32</v>
      </c>
      <c r="R35" s="97"/>
      <c r="S35" s="123">
        <v>45535.0</v>
      </c>
      <c r="T35" s="59"/>
      <c r="U35" s="124">
        <f t="shared" si="1"/>
        <v>87.84109589</v>
      </c>
      <c r="V35" s="125">
        <f t="shared" si="2"/>
        <v>89.71232877</v>
      </c>
      <c r="W35" s="112"/>
      <c r="X35" s="108">
        <v>13.0</v>
      </c>
      <c r="Y35" s="99"/>
      <c r="Z35" s="99"/>
    </row>
    <row r="36">
      <c r="A36" s="91"/>
      <c r="B36" s="91"/>
      <c r="C36" s="91"/>
      <c r="D36" s="91"/>
      <c r="E36" s="91"/>
      <c r="F36" s="91"/>
      <c r="G36" s="91"/>
      <c r="H36" s="91"/>
      <c r="I36" s="162"/>
      <c r="J36" s="91"/>
      <c r="K36" s="98"/>
      <c r="L36" s="163"/>
      <c r="M36" s="91"/>
      <c r="N36" s="91"/>
      <c r="O36" s="91"/>
      <c r="P36" s="91"/>
      <c r="Q36" s="91"/>
      <c r="R36" s="97"/>
      <c r="S36" s="98"/>
      <c r="T36" s="99"/>
      <c r="U36" s="99"/>
      <c r="V36" s="99"/>
      <c r="W36" s="99"/>
      <c r="X36" s="99"/>
      <c r="Y36" s="99"/>
      <c r="Z36" s="99"/>
    </row>
    <row r="37">
      <c r="A37" s="91"/>
      <c r="B37" s="91"/>
      <c r="C37" s="91"/>
      <c r="D37" s="91"/>
      <c r="E37" s="91"/>
      <c r="F37" s="91"/>
      <c r="G37" s="91"/>
      <c r="H37" s="91"/>
      <c r="I37" s="162"/>
      <c r="J37" s="91"/>
      <c r="K37" s="98"/>
      <c r="L37" s="163"/>
      <c r="M37" s="91"/>
      <c r="N37" s="91"/>
      <c r="O37" s="91"/>
      <c r="P37" s="91"/>
      <c r="Q37" s="91"/>
      <c r="R37" s="97"/>
      <c r="S37" s="98"/>
      <c r="T37" s="99"/>
      <c r="U37" s="99"/>
      <c r="V37" s="99"/>
      <c r="W37" s="99"/>
      <c r="X37" s="99"/>
      <c r="Y37" s="99"/>
      <c r="Z37" s="99"/>
    </row>
    <row r="38">
      <c r="A38" s="91"/>
      <c r="B38" s="91"/>
      <c r="C38" s="164"/>
      <c r="D38" s="25"/>
      <c r="E38" s="25"/>
      <c r="F38" s="25"/>
      <c r="G38" s="91"/>
      <c r="H38" s="165" t="s">
        <v>200</v>
      </c>
      <c r="K38" s="98"/>
      <c r="L38" s="163"/>
      <c r="M38" s="164"/>
      <c r="N38" s="25"/>
      <c r="O38" s="165" t="s">
        <v>201</v>
      </c>
      <c r="R38" s="97"/>
      <c r="S38" s="98"/>
      <c r="T38" s="99"/>
      <c r="U38" s="99"/>
      <c r="V38" s="99"/>
      <c r="W38" s="99"/>
      <c r="X38" s="99"/>
      <c r="Y38" s="99"/>
      <c r="Z38" s="99"/>
    </row>
    <row r="39">
      <c r="A39" s="91"/>
      <c r="B39" s="91"/>
      <c r="C39" s="91"/>
      <c r="D39" s="91"/>
      <c r="E39" s="91"/>
      <c r="F39" s="91"/>
      <c r="G39" s="91"/>
      <c r="H39" s="91"/>
      <c r="I39" s="91"/>
      <c r="J39" s="91"/>
      <c r="K39" s="98"/>
      <c r="L39" s="163"/>
      <c r="M39" s="91"/>
      <c r="N39" s="91"/>
      <c r="O39" s="91"/>
      <c r="P39" s="91"/>
      <c r="Q39" s="91"/>
      <c r="R39" s="97"/>
      <c r="S39" s="98"/>
      <c r="T39" s="99"/>
      <c r="U39" s="99"/>
      <c r="V39" s="99"/>
      <c r="W39" s="99"/>
      <c r="X39" s="99"/>
      <c r="Y39" s="99"/>
      <c r="Z39" s="99"/>
    </row>
    <row r="40">
      <c r="A40" s="91"/>
      <c r="B40" s="91"/>
      <c r="C40" s="91"/>
      <c r="D40" s="91"/>
      <c r="E40" s="91"/>
      <c r="F40" s="91"/>
      <c r="G40" s="91"/>
      <c r="H40" s="91"/>
      <c r="I40" s="162"/>
      <c r="J40" s="91"/>
      <c r="K40" s="98"/>
      <c r="L40" s="166"/>
      <c r="M40" s="167">
        <v>44865.0</v>
      </c>
      <c r="N40" s="25"/>
      <c r="O40" s="168" t="s">
        <v>202</v>
      </c>
      <c r="R40" s="97"/>
      <c r="S40" s="98"/>
      <c r="T40" s="99"/>
      <c r="U40" s="99"/>
      <c r="V40" s="99"/>
      <c r="W40" s="99"/>
      <c r="X40" s="99"/>
      <c r="Y40" s="99"/>
      <c r="Z40" s="99"/>
    </row>
  </sheetData>
  <mergeCells count="14">
    <mergeCell ref="D3:E3"/>
    <mergeCell ref="C38:F38"/>
    <mergeCell ref="H38:J38"/>
    <mergeCell ref="M38:N38"/>
    <mergeCell ref="O38:Q38"/>
    <mergeCell ref="M40:N40"/>
    <mergeCell ref="O40:Q40"/>
    <mergeCell ref="B1:D1"/>
    <mergeCell ref="E1:G1"/>
    <mergeCell ref="H1:I1"/>
    <mergeCell ref="J1:K1"/>
    <mergeCell ref="M1:N1"/>
    <mergeCell ref="O1:Q1"/>
    <mergeCell ref="F3:G3"/>
  </mergeCell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2" max="12" width="16.25"/>
    <col customWidth="1" min="13" max="13" width="21.25"/>
    <col customWidth="1" min="15" max="15" width="15.38"/>
  </cols>
  <sheetData>
    <row r="1" ht="45.0" customHeight="1">
      <c r="A1" s="91"/>
      <c r="B1" s="92">
        <v>44865.0</v>
      </c>
      <c r="C1" s="4"/>
      <c r="D1" s="4"/>
      <c r="E1" s="93" t="s">
        <v>0</v>
      </c>
      <c r="H1" s="94" t="s">
        <v>1</v>
      </c>
      <c r="I1" s="4"/>
      <c r="J1" s="93" t="s">
        <v>2</v>
      </c>
      <c r="L1" s="95"/>
      <c r="M1" s="96" t="s">
        <v>3</v>
      </c>
      <c r="N1" s="4"/>
      <c r="O1" s="93" t="s">
        <v>4</v>
      </c>
      <c r="R1" s="97"/>
      <c r="S1" s="98"/>
      <c r="T1" s="99"/>
      <c r="U1" s="99"/>
      <c r="V1" s="99"/>
      <c r="W1" s="99"/>
      <c r="X1" s="99"/>
      <c r="Y1" s="99"/>
      <c r="Z1" s="99"/>
    </row>
    <row r="2">
      <c r="A2" s="100"/>
      <c r="B2" s="100"/>
      <c r="C2" s="100"/>
      <c r="D2" s="100"/>
      <c r="E2" s="100"/>
      <c r="F2" s="100"/>
      <c r="G2" s="100"/>
      <c r="H2" s="100"/>
      <c r="I2" s="101"/>
      <c r="J2" s="100"/>
      <c r="K2" s="102"/>
      <c r="L2" s="103"/>
      <c r="M2" s="100"/>
      <c r="N2" s="100"/>
      <c r="O2" s="100"/>
      <c r="P2" s="100"/>
      <c r="Q2" s="100"/>
      <c r="R2" s="104"/>
      <c r="S2" s="102"/>
    </row>
    <row r="3" ht="49.5" customHeight="1">
      <c r="A3" s="13" t="s">
        <v>5</v>
      </c>
      <c r="B3" s="105" t="s">
        <v>7</v>
      </c>
      <c r="C3" s="105" t="s">
        <v>8</v>
      </c>
      <c r="D3" s="106" t="s">
        <v>9</v>
      </c>
      <c r="E3" s="15"/>
      <c r="F3" s="106" t="s">
        <v>10</v>
      </c>
      <c r="G3" s="15"/>
      <c r="H3" s="105" t="s">
        <v>11</v>
      </c>
      <c r="I3" s="16" t="s">
        <v>12</v>
      </c>
      <c r="J3" s="13" t="s">
        <v>13</v>
      </c>
      <c r="K3" s="105" t="s">
        <v>14</v>
      </c>
      <c r="L3" s="105" t="s">
        <v>15</v>
      </c>
      <c r="M3" s="107" t="s">
        <v>16</v>
      </c>
      <c r="N3" s="105" t="s">
        <v>17</v>
      </c>
      <c r="O3" s="107" t="s">
        <v>18</v>
      </c>
      <c r="P3" s="105" t="s">
        <v>19</v>
      </c>
      <c r="Q3" s="105" t="s">
        <v>20</v>
      </c>
      <c r="R3" s="108"/>
      <c r="S3" s="109" t="s">
        <v>21</v>
      </c>
      <c r="T3" s="59"/>
      <c r="U3" s="110" t="s">
        <v>22</v>
      </c>
      <c r="V3" s="111" t="s">
        <v>23</v>
      </c>
      <c r="W3" s="112"/>
      <c r="X3" s="112"/>
      <c r="Y3" s="59"/>
      <c r="Z3" s="59"/>
    </row>
    <row r="4" ht="33.75" customHeight="1">
      <c r="A4" s="113" t="s">
        <v>25</v>
      </c>
      <c r="B4" s="114" t="s">
        <v>27</v>
      </c>
      <c r="C4" s="33" t="s">
        <v>28</v>
      </c>
      <c r="D4" s="115" t="s">
        <v>29</v>
      </c>
      <c r="E4" s="115" t="s">
        <v>30</v>
      </c>
      <c r="F4" s="115" t="s">
        <v>29</v>
      </c>
      <c r="G4" s="115" t="s">
        <v>30</v>
      </c>
      <c r="H4" s="33" t="s">
        <v>31</v>
      </c>
      <c r="I4" s="116" t="s">
        <v>32</v>
      </c>
      <c r="J4" s="117">
        <v>1994.0</v>
      </c>
      <c r="K4" s="118">
        <v>29758.0</v>
      </c>
      <c r="L4" s="119" t="s">
        <v>33</v>
      </c>
      <c r="M4" s="120" t="s">
        <v>34</v>
      </c>
      <c r="N4" s="33" t="s">
        <v>35</v>
      </c>
      <c r="O4" s="120" t="s">
        <v>36</v>
      </c>
      <c r="P4" s="121">
        <v>85855.0</v>
      </c>
      <c r="Q4" s="114">
        <v>1.0</v>
      </c>
      <c r="R4" s="122"/>
      <c r="S4" s="123">
        <v>45473.0</v>
      </c>
      <c r="T4" s="59"/>
      <c r="U4" s="124">
        <f t="shared" ref="U4:U33" si="1">(S4-K4)/365</f>
        <v>43.05479452</v>
      </c>
      <c r="V4" s="125">
        <f t="shared" ref="V4:V33" si="2">(TODAY()-K4)/365</f>
        <v>45.09589041</v>
      </c>
      <c r="W4" s="108"/>
      <c r="X4" s="112"/>
      <c r="Y4" s="59"/>
      <c r="Z4" s="59"/>
    </row>
    <row r="5" ht="33.75" customHeight="1">
      <c r="A5" s="113" t="s">
        <v>25</v>
      </c>
      <c r="B5" s="114" t="s">
        <v>47</v>
      </c>
      <c r="C5" s="115" t="s">
        <v>39</v>
      </c>
      <c r="D5" s="33" t="s">
        <v>40</v>
      </c>
      <c r="E5" s="115" t="s">
        <v>30</v>
      </c>
      <c r="F5" s="115" t="s">
        <v>29</v>
      </c>
      <c r="G5" s="115" t="s">
        <v>30</v>
      </c>
      <c r="H5" s="33" t="s">
        <v>41</v>
      </c>
      <c r="I5" s="126">
        <v>0.0</v>
      </c>
      <c r="J5" s="33" t="s">
        <v>42</v>
      </c>
      <c r="K5" s="118">
        <v>29102.0</v>
      </c>
      <c r="L5" s="119" t="s">
        <v>127</v>
      </c>
      <c r="M5" s="120" t="s">
        <v>128</v>
      </c>
      <c r="N5" s="170" t="s">
        <v>35</v>
      </c>
      <c r="O5" s="120" t="s">
        <v>129</v>
      </c>
      <c r="P5" s="114">
        <v>697263.0</v>
      </c>
      <c r="Q5" s="114">
        <f t="shared" ref="Q5:Q33" si="3">Q4+1</f>
        <v>2</v>
      </c>
      <c r="R5" s="122"/>
      <c r="S5" s="123">
        <v>45473.0</v>
      </c>
      <c r="T5" s="59"/>
      <c r="U5" s="124">
        <f t="shared" si="1"/>
        <v>44.85205479</v>
      </c>
      <c r="V5" s="125">
        <f t="shared" si="2"/>
        <v>46.89315068</v>
      </c>
      <c r="W5" s="108"/>
      <c r="X5" s="112"/>
      <c r="Y5" s="59"/>
      <c r="Z5" s="59"/>
    </row>
    <row r="6" ht="33.75" customHeight="1">
      <c r="A6" s="113" t="s">
        <v>25</v>
      </c>
      <c r="B6" s="114" t="s">
        <v>53</v>
      </c>
      <c r="C6" s="127" t="s">
        <v>54</v>
      </c>
      <c r="D6" s="115" t="s">
        <v>29</v>
      </c>
      <c r="E6" s="115" t="s">
        <v>30</v>
      </c>
      <c r="F6" s="115" t="s">
        <v>29</v>
      </c>
      <c r="G6" s="115" t="s">
        <v>30</v>
      </c>
      <c r="H6" s="33" t="s">
        <v>131</v>
      </c>
      <c r="I6" s="116" t="s">
        <v>132</v>
      </c>
      <c r="J6" s="33" t="s">
        <v>42</v>
      </c>
      <c r="K6" s="128">
        <v>17036.0</v>
      </c>
      <c r="L6" s="119" t="s">
        <v>133</v>
      </c>
      <c r="M6" s="120" t="s">
        <v>134</v>
      </c>
      <c r="N6" s="33" t="s">
        <v>56</v>
      </c>
      <c r="O6" s="120" t="s">
        <v>128</v>
      </c>
      <c r="P6" s="114">
        <v>633202.0</v>
      </c>
      <c r="Q6" s="114">
        <f t="shared" si="3"/>
        <v>3</v>
      </c>
      <c r="R6" s="122"/>
      <c r="S6" s="123">
        <v>45473.0</v>
      </c>
      <c r="T6" s="59"/>
      <c r="U6" s="124">
        <f t="shared" si="1"/>
        <v>77.90958904</v>
      </c>
      <c r="V6" s="125">
        <f t="shared" si="2"/>
        <v>79.95068493</v>
      </c>
      <c r="W6" s="112"/>
      <c r="X6" s="112"/>
      <c r="Y6" s="59"/>
      <c r="Z6" s="59"/>
    </row>
    <row r="7" ht="33.75" customHeight="1">
      <c r="A7" s="113" t="s">
        <v>37</v>
      </c>
      <c r="B7" s="114" t="s">
        <v>75</v>
      </c>
      <c r="C7" s="127" t="s">
        <v>54</v>
      </c>
      <c r="D7" s="33" t="s">
        <v>40</v>
      </c>
      <c r="E7" s="115" t="s">
        <v>30</v>
      </c>
      <c r="F7" s="115" t="s">
        <v>29</v>
      </c>
      <c r="G7" s="115" t="s">
        <v>30</v>
      </c>
      <c r="H7" s="33" t="s">
        <v>48</v>
      </c>
      <c r="I7" s="126">
        <v>0.0</v>
      </c>
      <c r="J7" s="33" t="s">
        <v>42</v>
      </c>
      <c r="K7" s="128">
        <v>19489.0</v>
      </c>
      <c r="L7" s="119" t="s">
        <v>136</v>
      </c>
      <c r="M7" s="120" t="s">
        <v>137</v>
      </c>
      <c r="N7" s="171" t="s">
        <v>56</v>
      </c>
      <c r="O7" s="120" t="s">
        <v>138</v>
      </c>
      <c r="P7" s="114">
        <v>690594.0</v>
      </c>
      <c r="Q7" s="114">
        <f t="shared" si="3"/>
        <v>4</v>
      </c>
      <c r="R7" s="129"/>
      <c r="S7" s="123">
        <v>45473.0</v>
      </c>
      <c r="T7" s="59"/>
      <c r="U7" s="124">
        <f t="shared" si="1"/>
        <v>71.1890411</v>
      </c>
      <c r="V7" s="125">
        <f t="shared" si="2"/>
        <v>73.23013699</v>
      </c>
      <c r="W7" s="112"/>
      <c r="X7" s="112"/>
      <c r="Y7" s="59"/>
      <c r="Z7" s="59"/>
    </row>
    <row r="8" ht="33.75" customHeight="1">
      <c r="A8" s="113" t="s">
        <v>37</v>
      </c>
      <c r="B8" s="114" t="s">
        <v>27</v>
      </c>
      <c r="C8" s="115" t="s">
        <v>39</v>
      </c>
      <c r="D8" s="33" t="s">
        <v>40</v>
      </c>
      <c r="E8" s="115" t="s">
        <v>30</v>
      </c>
      <c r="F8" s="115" t="s">
        <v>29</v>
      </c>
      <c r="G8" s="115" t="s">
        <v>30</v>
      </c>
      <c r="H8" s="33" t="s">
        <v>41</v>
      </c>
      <c r="I8" s="126">
        <v>0.0</v>
      </c>
      <c r="J8" s="33" t="s">
        <v>42</v>
      </c>
      <c r="K8" s="118">
        <v>26511.0</v>
      </c>
      <c r="L8" s="119" t="s">
        <v>43</v>
      </c>
      <c r="M8" s="120" t="s">
        <v>44</v>
      </c>
      <c r="N8" s="170" t="s">
        <v>35</v>
      </c>
      <c r="O8" s="120" t="s">
        <v>45</v>
      </c>
      <c r="P8" s="114">
        <v>629409.0</v>
      </c>
      <c r="Q8" s="114">
        <f t="shared" si="3"/>
        <v>5</v>
      </c>
      <c r="R8" s="129"/>
      <c r="S8" s="123">
        <v>45473.0</v>
      </c>
      <c r="T8" s="59"/>
      <c r="U8" s="124">
        <f t="shared" si="1"/>
        <v>51.95068493</v>
      </c>
      <c r="V8" s="125">
        <f t="shared" si="2"/>
        <v>53.99178082</v>
      </c>
      <c r="W8" s="108"/>
      <c r="X8" s="112"/>
      <c r="Y8" s="59"/>
      <c r="Z8" s="59"/>
    </row>
    <row r="9" ht="33.75" customHeight="1">
      <c r="A9" s="113" t="s">
        <v>37</v>
      </c>
      <c r="B9" s="114" t="s">
        <v>47</v>
      </c>
      <c r="C9" s="115" t="s">
        <v>39</v>
      </c>
      <c r="D9" s="33" t="s">
        <v>40</v>
      </c>
      <c r="E9" s="115" t="s">
        <v>30</v>
      </c>
      <c r="F9" s="115" t="s">
        <v>29</v>
      </c>
      <c r="G9" s="115" t="s">
        <v>30</v>
      </c>
      <c r="H9" s="33" t="s">
        <v>48</v>
      </c>
      <c r="I9" s="126">
        <v>0.0</v>
      </c>
      <c r="J9" s="33" t="s">
        <v>42</v>
      </c>
      <c r="K9" s="128">
        <v>27595.0</v>
      </c>
      <c r="L9" s="119" t="s">
        <v>49</v>
      </c>
      <c r="M9" s="120" t="s">
        <v>50</v>
      </c>
      <c r="N9" s="170" t="s">
        <v>35</v>
      </c>
      <c r="O9" s="120" t="s">
        <v>51</v>
      </c>
      <c r="P9" s="114">
        <v>691771.0</v>
      </c>
      <c r="Q9" s="114">
        <f t="shared" si="3"/>
        <v>6</v>
      </c>
      <c r="R9" s="129"/>
      <c r="S9" s="123">
        <v>45473.0</v>
      </c>
      <c r="T9" s="59"/>
      <c r="U9" s="124">
        <f t="shared" si="1"/>
        <v>48.98082192</v>
      </c>
      <c r="V9" s="125">
        <f t="shared" si="2"/>
        <v>51.02191781</v>
      </c>
      <c r="W9" s="108"/>
      <c r="X9" s="112"/>
      <c r="Y9" s="59"/>
      <c r="Z9" s="59"/>
    </row>
    <row r="10" ht="33.75" customHeight="1">
      <c r="A10" s="113" t="s">
        <v>25</v>
      </c>
      <c r="B10" s="114" t="s">
        <v>53</v>
      </c>
      <c r="C10" s="33" t="s">
        <v>140</v>
      </c>
      <c r="D10" s="33" t="s">
        <v>40</v>
      </c>
      <c r="E10" s="115" t="s">
        <v>30</v>
      </c>
      <c r="F10" s="115" t="s">
        <v>29</v>
      </c>
      <c r="G10" s="115" t="s">
        <v>30</v>
      </c>
      <c r="H10" s="33" t="s">
        <v>48</v>
      </c>
      <c r="I10" s="116" t="s">
        <v>141</v>
      </c>
      <c r="J10" s="33" t="s">
        <v>42</v>
      </c>
      <c r="K10" s="128">
        <v>21596.0</v>
      </c>
      <c r="L10" s="119" t="s">
        <v>142</v>
      </c>
      <c r="M10" s="120" t="s">
        <v>143</v>
      </c>
      <c r="N10" s="33" t="s">
        <v>56</v>
      </c>
      <c r="O10" s="120" t="s">
        <v>204</v>
      </c>
      <c r="P10" s="114">
        <v>600898.0</v>
      </c>
      <c r="Q10" s="114">
        <f t="shared" si="3"/>
        <v>7</v>
      </c>
      <c r="R10" s="122"/>
      <c r="S10" s="123">
        <v>45473.0</v>
      </c>
      <c r="T10" s="59"/>
      <c r="U10" s="124">
        <f t="shared" si="1"/>
        <v>65.41643836</v>
      </c>
      <c r="V10" s="125">
        <f t="shared" si="2"/>
        <v>67.45753425</v>
      </c>
      <c r="W10" s="112"/>
      <c r="X10" s="112"/>
      <c r="Y10" s="59"/>
      <c r="Z10" s="59"/>
    </row>
    <row r="11" ht="33.75" customHeight="1">
      <c r="A11" s="113" t="s">
        <v>25</v>
      </c>
      <c r="B11" s="114" t="s">
        <v>53</v>
      </c>
      <c r="C11" s="127" t="s">
        <v>54</v>
      </c>
      <c r="D11" s="115" t="s">
        <v>29</v>
      </c>
      <c r="E11" s="115" t="s">
        <v>30</v>
      </c>
      <c r="F11" s="115" t="s">
        <v>29</v>
      </c>
      <c r="G11" s="115" t="s">
        <v>30</v>
      </c>
      <c r="H11" s="33" t="s">
        <v>31</v>
      </c>
      <c r="I11" s="130"/>
      <c r="J11" s="33" t="s">
        <v>42</v>
      </c>
      <c r="K11" s="128">
        <v>12965.0</v>
      </c>
      <c r="L11" s="119" t="s">
        <v>146</v>
      </c>
      <c r="M11" s="120" t="s">
        <v>147</v>
      </c>
      <c r="N11" s="171" t="s">
        <v>56</v>
      </c>
      <c r="O11" s="120" t="s">
        <v>148</v>
      </c>
      <c r="P11" s="114">
        <v>626871.0</v>
      </c>
      <c r="Q11" s="114">
        <f t="shared" si="3"/>
        <v>8</v>
      </c>
      <c r="R11" s="129"/>
      <c r="S11" s="123">
        <v>45473.0</v>
      </c>
      <c r="T11" s="59"/>
      <c r="U11" s="124">
        <f t="shared" si="1"/>
        <v>89.0630137</v>
      </c>
      <c r="V11" s="125">
        <f t="shared" si="2"/>
        <v>91.10410959</v>
      </c>
      <c r="W11" s="112"/>
      <c r="X11" s="112"/>
      <c r="Y11" s="59"/>
      <c r="Z11" s="59"/>
    </row>
    <row r="12" ht="33.75" customHeight="1">
      <c r="A12" s="113" t="s">
        <v>25</v>
      </c>
      <c r="B12" s="114" t="s">
        <v>53</v>
      </c>
      <c r="C12" s="127" t="s">
        <v>54</v>
      </c>
      <c r="D12" s="33" t="s">
        <v>40</v>
      </c>
      <c r="E12" s="115" t="s">
        <v>30</v>
      </c>
      <c r="F12" s="115" t="s">
        <v>29</v>
      </c>
      <c r="G12" s="115" t="s">
        <v>30</v>
      </c>
      <c r="H12" s="33" t="s">
        <v>41</v>
      </c>
      <c r="I12" s="130"/>
      <c r="J12" s="33" t="s">
        <v>42</v>
      </c>
      <c r="K12" s="128">
        <v>17434.0</v>
      </c>
      <c r="L12" s="131"/>
      <c r="M12" s="120" t="s">
        <v>55</v>
      </c>
      <c r="N12" s="171" t="s">
        <v>56</v>
      </c>
      <c r="O12" s="120" t="s">
        <v>50</v>
      </c>
      <c r="P12" s="117">
        <v>600790.0</v>
      </c>
      <c r="Q12" s="114">
        <f t="shared" si="3"/>
        <v>9</v>
      </c>
      <c r="R12" s="129"/>
      <c r="S12" s="123">
        <v>45473.0</v>
      </c>
      <c r="T12" s="59"/>
      <c r="U12" s="124">
        <f t="shared" si="1"/>
        <v>76.81917808</v>
      </c>
      <c r="V12" s="125">
        <f t="shared" si="2"/>
        <v>78.86027397</v>
      </c>
      <c r="W12" s="112"/>
      <c r="X12" s="112"/>
      <c r="Y12" s="59"/>
      <c r="Z12" s="59"/>
    </row>
    <row r="13" ht="33.75" customHeight="1">
      <c r="A13" s="113" t="s">
        <v>25</v>
      </c>
      <c r="B13" s="114" t="s">
        <v>53</v>
      </c>
      <c r="C13" s="115" t="s">
        <v>39</v>
      </c>
      <c r="D13" s="33" t="s">
        <v>40</v>
      </c>
      <c r="E13" s="115" t="s">
        <v>30</v>
      </c>
      <c r="F13" s="115" t="s">
        <v>29</v>
      </c>
      <c r="G13" s="115" t="s">
        <v>30</v>
      </c>
      <c r="H13" s="33" t="s">
        <v>41</v>
      </c>
      <c r="I13" s="132" t="s">
        <v>150</v>
      </c>
      <c r="J13" s="33" t="s">
        <v>42</v>
      </c>
      <c r="K13" s="118">
        <v>26988.0</v>
      </c>
      <c r="L13" s="119" t="s">
        <v>151</v>
      </c>
      <c r="M13" s="120" t="s">
        <v>148</v>
      </c>
      <c r="N13" s="33" t="s">
        <v>35</v>
      </c>
      <c r="O13" s="120" t="s">
        <v>152</v>
      </c>
      <c r="P13" s="114">
        <v>629430.0</v>
      </c>
      <c r="Q13" s="114">
        <f t="shared" si="3"/>
        <v>10</v>
      </c>
      <c r="R13" s="122"/>
      <c r="S13" s="123">
        <v>45473.0</v>
      </c>
      <c r="T13" s="59"/>
      <c r="U13" s="124">
        <f t="shared" si="1"/>
        <v>50.64383562</v>
      </c>
      <c r="V13" s="125">
        <f t="shared" si="2"/>
        <v>52.68493151</v>
      </c>
      <c r="W13" s="108"/>
      <c r="X13" s="112"/>
      <c r="Y13" s="59"/>
      <c r="Z13" s="59"/>
    </row>
    <row r="14" ht="33.75" customHeight="1">
      <c r="A14" s="113" t="s">
        <v>25</v>
      </c>
      <c r="B14" s="133"/>
      <c r="C14" s="134" t="s">
        <v>76</v>
      </c>
      <c r="D14" s="33" t="s">
        <v>40</v>
      </c>
      <c r="E14" s="115" t="s">
        <v>30</v>
      </c>
      <c r="F14" s="115" t="s">
        <v>29</v>
      </c>
      <c r="G14" s="115" t="s">
        <v>30</v>
      </c>
      <c r="H14" s="33" t="s">
        <v>154</v>
      </c>
      <c r="I14" s="135" t="s">
        <v>155</v>
      </c>
      <c r="J14" s="33" t="s">
        <v>42</v>
      </c>
      <c r="K14" s="118">
        <v>29319.0</v>
      </c>
      <c r="L14" s="119" t="s">
        <v>156</v>
      </c>
      <c r="M14" s="120" t="s">
        <v>157</v>
      </c>
      <c r="N14" s="33" t="s">
        <v>35</v>
      </c>
      <c r="O14" s="120" t="s">
        <v>158</v>
      </c>
      <c r="P14" s="114">
        <v>73236.0</v>
      </c>
      <c r="Q14" s="114">
        <f t="shared" si="3"/>
        <v>11</v>
      </c>
      <c r="R14" s="122"/>
      <c r="S14" s="123">
        <v>45473.0</v>
      </c>
      <c r="T14" s="59"/>
      <c r="U14" s="124">
        <f t="shared" si="1"/>
        <v>44.25753425</v>
      </c>
      <c r="V14" s="125">
        <f t="shared" si="2"/>
        <v>46.29863014</v>
      </c>
      <c r="W14" s="108"/>
      <c r="X14" s="112"/>
      <c r="Y14" s="59"/>
      <c r="Z14" s="59"/>
    </row>
    <row r="15" ht="33.75" customHeight="1">
      <c r="A15" s="113" t="s">
        <v>25</v>
      </c>
      <c r="B15" s="114" t="s">
        <v>53</v>
      </c>
      <c r="C15" s="127" t="s">
        <v>54</v>
      </c>
      <c r="D15" s="33" t="s">
        <v>40</v>
      </c>
      <c r="E15" s="115" t="s">
        <v>30</v>
      </c>
      <c r="F15" s="115" t="s">
        <v>29</v>
      </c>
      <c r="G15" s="115" t="s">
        <v>30</v>
      </c>
      <c r="H15" s="33" t="s">
        <v>48</v>
      </c>
      <c r="I15" s="130"/>
      <c r="J15" s="33" t="s">
        <v>42</v>
      </c>
      <c r="K15" s="128">
        <v>23484.0</v>
      </c>
      <c r="L15" s="119" t="s">
        <v>205</v>
      </c>
      <c r="M15" s="120" t="s">
        <v>206</v>
      </c>
      <c r="N15" s="171" t="s">
        <v>56</v>
      </c>
      <c r="O15" s="120" t="s">
        <v>207</v>
      </c>
      <c r="P15" s="114">
        <v>629439.0</v>
      </c>
      <c r="Q15" s="114">
        <f t="shared" si="3"/>
        <v>12</v>
      </c>
      <c r="R15" s="129"/>
      <c r="S15" s="123">
        <v>45473.0</v>
      </c>
      <c r="T15" s="59"/>
      <c r="U15" s="124">
        <f t="shared" si="1"/>
        <v>60.24383562</v>
      </c>
      <c r="V15" s="125">
        <f t="shared" si="2"/>
        <v>62.28493151</v>
      </c>
      <c r="W15" s="112"/>
      <c r="X15" s="112"/>
      <c r="Y15" s="59"/>
      <c r="Z15" s="59"/>
    </row>
    <row r="16" ht="33.75" customHeight="1">
      <c r="A16" s="113" t="s">
        <v>25</v>
      </c>
      <c r="B16" s="114" t="s">
        <v>75</v>
      </c>
      <c r="C16" s="115" t="s">
        <v>39</v>
      </c>
      <c r="D16" s="33" t="s">
        <v>40</v>
      </c>
      <c r="E16" s="115" t="s">
        <v>30</v>
      </c>
      <c r="F16" s="115" t="s">
        <v>29</v>
      </c>
      <c r="G16" s="115" t="s">
        <v>30</v>
      </c>
      <c r="H16" s="33" t="s">
        <v>41</v>
      </c>
      <c r="I16" s="130"/>
      <c r="J16" s="33" t="s">
        <v>42</v>
      </c>
      <c r="K16" s="118">
        <v>29895.0</v>
      </c>
      <c r="L16" s="119" t="s">
        <v>160</v>
      </c>
      <c r="M16" s="120" t="s">
        <v>161</v>
      </c>
      <c r="N16" s="170" t="s">
        <v>35</v>
      </c>
      <c r="O16" s="120" t="s">
        <v>162</v>
      </c>
      <c r="P16" s="114">
        <v>698781.0</v>
      </c>
      <c r="Q16" s="114">
        <f t="shared" si="3"/>
        <v>13</v>
      </c>
      <c r="R16" s="129"/>
      <c r="S16" s="123">
        <v>45473.0</v>
      </c>
      <c r="T16" s="59"/>
      <c r="U16" s="124">
        <f t="shared" si="1"/>
        <v>42.67945205</v>
      </c>
      <c r="V16" s="125">
        <f t="shared" si="2"/>
        <v>44.72054795</v>
      </c>
      <c r="W16" s="108"/>
      <c r="X16" s="112"/>
      <c r="Y16" s="59"/>
      <c r="Z16" s="59"/>
    </row>
    <row r="17" ht="33.75" customHeight="1">
      <c r="A17" s="113" t="s">
        <v>25</v>
      </c>
      <c r="B17" s="114" t="s">
        <v>27</v>
      </c>
      <c r="C17" s="127" t="s">
        <v>54</v>
      </c>
      <c r="D17" s="33" t="s">
        <v>40</v>
      </c>
      <c r="E17" s="115" t="s">
        <v>30</v>
      </c>
      <c r="F17" s="115" t="s">
        <v>29</v>
      </c>
      <c r="G17" s="115" t="s">
        <v>30</v>
      </c>
      <c r="H17" s="33" t="s">
        <v>48</v>
      </c>
      <c r="I17" s="116" t="s">
        <v>164</v>
      </c>
      <c r="J17" s="33" t="s">
        <v>42</v>
      </c>
      <c r="K17" s="118">
        <v>21551.0</v>
      </c>
      <c r="L17" s="119" t="s">
        <v>165</v>
      </c>
      <c r="M17" s="120" t="s">
        <v>80</v>
      </c>
      <c r="N17" s="33" t="s">
        <v>56</v>
      </c>
      <c r="O17" s="120" t="s">
        <v>166</v>
      </c>
      <c r="P17" s="114">
        <v>697260.0</v>
      </c>
      <c r="Q17" s="114">
        <f t="shared" si="3"/>
        <v>14</v>
      </c>
      <c r="R17" s="122"/>
      <c r="S17" s="123">
        <v>45473.0</v>
      </c>
      <c r="T17" s="59"/>
      <c r="U17" s="124">
        <f t="shared" si="1"/>
        <v>65.53972603</v>
      </c>
      <c r="V17" s="125">
        <f t="shared" si="2"/>
        <v>67.58082192</v>
      </c>
      <c r="W17" s="112"/>
      <c r="X17" s="112"/>
      <c r="Y17" s="59"/>
      <c r="Z17" s="59"/>
    </row>
    <row r="18" ht="33.75" customHeight="1">
      <c r="A18" s="113" t="s">
        <v>25</v>
      </c>
      <c r="B18" s="114" t="s">
        <v>27</v>
      </c>
      <c r="C18" s="127" t="s">
        <v>54</v>
      </c>
      <c r="D18" s="33" t="s">
        <v>40</v>
      </c>
      <c r="E18" s="115" t="s">
        <v>30</v>
      </c>
      <c r="F18" s="115" t="s">
        <v>29</v>
      </c>
      <c r="G18" s="115" t="s">
        <v>30</v>
      </c>
      <c r="H18" s="136" t="s">
        <v>58</v>
      </c>
      <c r="I18" s="130"/>
      <c r="J18" s="33" t="s">
        <v>42</v>
      </c>
      <c r="K18" s="128">
        <v>20261.0</v>
      </c>
      <c r="L18" s="119" t="s">
        <v>59</v>
      </c>
      <c r="M18" s="120" t="s">
        <v>60</v>
      </c>
      <c r="N18" s="171" t="s">
        <v>56</v>
      </c>
      <c r="O18" s="120" t="s">
        <v>61</v>
      </c>
      <c r="P18" s="114">
        <v>696347.0</v>
      </c>
      <c r="Q18" s="114">
        <f t="shared" si="3"/>
        <v>15</v>
      </c>
      <c r="R18" s="129"/>
      <c r="S18" s="123">
        <v>45473.0</v>
      </c>
      <c r="T18" s="59"/>
      <c r="U18" s="124">
        <f t="shared" si="1"/>
        <v>69.0739726</v>
      </c>
      <c r="V18" s="125">
        <f t="shared" si="2"/>
        <v>71.11506849</v>
      </c>
      <c r="W18" s="112"/>
      <c r="X18" s="112"/>
      <c r="Y18" s="59"/>
      <c r="Z18" s="59"/>
    </row>
    <row r="19" ht="33.75" customHeight="1">
      <c r="A19" s="113" t="s">
        <v>25</v>
      </c>
      <c r="B19" s="117" t="s">
        <v>168</v>
      </c>
      <c r="C19" s="115" t="s">
        <v>39</v>
      </c>
      <c r="D19" s="33" t="s">
        <v>40</v>
      </c>
      <c r="E19" s="115" t="s">
        <v>30</v>
      </c>
      <c r="F19" s="115" t="s">
        <v>29</v>
      </c>
      <c r="G19" s="115" t="s">
        <v>30</v>
      </c>
      <c r="H19" s="33" t="s">
        <v>41</v>
      </c>
      <c r="I19" s="130"/>
      <c r="J19" s="33" t="s">
        <v>42</v>
      </c>
      <c r="K19" s="128">
        <v>27784.0</v>
      </c>
      <c r="L19" s="119" t="s">
        <v>169</v>
      </c>
      <c r="M19" s="120" t="s">
        <v>170</v>
      </c>
      <c r="N19" s="170" t="s">
        <v>35</v>
      </c>
      <c r="O19" s="120" t="s">
        <v>171</v>
      </c>
      <c r="P19" s="114">
        <v>697262.0</v>
      </c>
      <c r="Q19" s="114">
        <f t="shared" si="3"/>
        <v>16</v>
      </c>
      <c r="R19" s="129"/>
      <c r="S19" s="123">
        <v>45473.0</v>
      </c>
      <c r="T19" s="59"/>
      <c r="U19" s="124">
        <f t="shared" si="1"/>
        <v>48.4630137</v>
      </c>
      <c r="V19" s="125">
        <f t="shared" si="2"/>
        <v>50.50410959</v>
      </c>
      <c r="W19" s="108"/>
      <c r="X19" s="112"/>
      <c r="Y19" s="59"/>
      <c r="Z19" s="59"/>
    </row>
    <row r="20" ht="33.75" customHeight="1">
      <c r="A20" s="113" t="s">
        <v>25</v>
      </c>
      <c r="B20" s="114" t="s">
        <v>53</v>
      </c>
      <c r="C20" s="127" t="s">
        <v>54</v>
      </c>
      <c r="D20" s="33" t="s">
        <v>40</v>
      </c>
      <c r="E20" s="115" t="s">
        <v>30</v>
      </c>
      <c r="F20" s="115" t="s">
        <v>29</v>
      </c>
      <c r="G20" s="115" t="s">
        <v>30</v>
      </c>
      <c r="H20" s="33" t="s">
        <v>63</v>
      </c>
      <c r="I20" s="116" t="s">
        <v>64</v>
      </c>
      <c r="J20" s="33" t="s">
        <v>42</v>
      </c>
      <c r="K20" s="128">
        <v>19786.0</v>
      </c>
      <c r="L20" s="119" t="s">
        <v>65</v>
      </c>
      <c r="M20" s="120" t="s">
        <v>66</v>
      </c>
      <c r="N20" s="33" t="s">
        <v>56</v>
      </c>
      <c r="O20" s="120" t="s">
        <v>67</v>
      </c>
      <c r="P20" s="114">
        <v>633185.0</v>
      </c>
      <c r="Q20" s="114">
        <f t="shared" si="3"/>
        <v>17</v>
      </c>
      <c r="R20" s="122"/>
      <c r="S20" s="123">
        <v>45473.0</v>
      </c>
      <c r="T20" s="59"/>
      <c r="U20" s="124">
        <f t="shared" si="1"/>
        <v>70.37534247</v>
      </c>
      <c r="V20" s="125">
        <f t="shared" si="2"/>
        <v>72.41643836</v>
      </c>
      <c r="W20" s="112"/>
      <c r="X20" s="112"/>
      <c r="Y20" s="59"/>
      <c r="Z20" s="59"/>
    </row>
    <row r="21" ht="33.75" customHeight="1">
      <c r="A21" s="113" t="s">
        <v>25</v>
      </c>
      <c r="B21" s="114" t="s">
        <v>69</v>
      </c>
      <c r="C21" s="115" t="s">
        <v>39</v>
      </c>
      <c r="D21" s="33" t="s">
        <v>40</v>
      </c>
      <c r="E21" s="115" t="s">
        <v>30</v>
      </c>
      <c r="F21" s="115" t="s">
        <v>29</v>
      </c>
      <c r="G21" s="115" t="s">
        <v>30</v>
      </c>
      <c r="H21" s="33" t="s">
        <v>48</v>
      </c>
      <c r="I21" s="130"/>
      <c r="J21" s="33" t="s">
        <v>42</v>
      </c>
      <c r="K21" s="128">
        <v>23531.0</v>
      </c>
      <c r="L21" s="119" t="s">
        <v>71</v>
      </c>
      <c r="M21" s="120" t="s">
        <v>72</v>
      </c>
      <c r="N21" s="33" t="s">
        <v>56</v>
      </c>
      <c r="O21" s="120" t="s">
        <v>73</v>
      </c>
      <c r="P21" s="114">
        <v>626887.0</v>
      </c>
      <c r="Q21" s="114">
        <f t="shared" si="3"/>
        <v>18</v>
      </c>
      <c r="R21" s="122"/>
      <c r="S21" s="123">
        <v>45473.0</v>
      </c>
      <c r="T21" s="59"/>
      <c r="U21" s="124">
        <f t="shared" si="1"/>
        <v>60.11506849</v>
      </c>
      <c r="V21" s="125">
        <f t="shared" si="2"/>
        <v>62.15616438</v>
      </c>
      <c r="W21" s="112"/>
      <c r="X21" s="112"/>
      <c r="Y21" s="59"/>
      <c r="Z21" s="59"/>
    </row>
    <row r="22" ht="33.75" customHeight="1">
      <c r="A22" s="113" t="s">
        <v>25</v>
      </c>
      <c r="B22" s="114" t="s">
        <v>27</v>
      </c>
      <c r="C22" s="127" t="s">
        <v>54</v>
      </c>
      <c r="D22" s="33" t="s">
        <v>40</v>
      </c>
      <c r="E22" s="115" t="s">
        <v>30</v>
      </c>
      <c r="F22" s="115" t="s">
        <v>29</v>
      </c>
      <c r="G22" s="115" t="s">
        <v>30</v>
      </c>
      <c r="H22" s="33" t="s">
        <v>48</v>
      </c>
      <c r="I22" s="130"/>
      <c r="J22" s="33" t="s">
        <v>42</v>
      </c>
      <c r="K22" s="118">
        <v>19299.0</v>
      </c>
      <c r="L22" s="119" t="s">
        <v>173</v>
      </c>
      <c r="M22" s="120" t="s">
        <v>174</v>
      </c>
      <c r="N22" s="171" t="s">
        <v>56</v>
      </c>
      <c r="O22" s="120" t="s">
        <v>175</v>
      </c>
      <c r="P22" s="114">
        <v>629414.0</v>
      </c>
      <c r="Q22" s="114">
        <f t="shared" si="3"/>
        <v>19</v>
      </c>
      <c r="R22" s="129"/>
      <c r="S22" s="123">
        <v>45473.0</v>
      </c>
      <c r="T22" s="59"/>
      <c r="U22" s="124">
        <f t="shared" si="1"/>
        <v>71.70958904</v>
      </c>
      <c r="V22" s="125">
        <f t="shared" si="2"/>
        <v>73.75068493</v>
      </c>
      <c r="W22" s="112"/>
      <c r="X22" s="112"/>
      <c r="Y22" s="59"/>
      <c r="Z22" s="59"/>
    </row>
    <row r="23" ht="33.75" customHeight="1">
      <c r="A23" s="113" t="s">
        <v>25</v>
      </c>
      <c r="B23" s="114" t="s">
        <v>47</v>
      </c>
      <c r="C23" s="115" t="s">
        <v>39</v>
      </c>
      <c r="D23" s="115" t="s">
        <v>29</v>
      </c>
      <c r="E23" s="115" t="s">
        <v>30</v>
      </c>
      <c r="F23" s="115" t="s">
        <v>29</v>
      </c>
      <c r="G23" s="115" t="s">
        <v>30</v>
      </c>
      <c r="H23" s="33" t="s">
        <v>63</v>
      </c>
      <c r="I23" s="135" t="s">
        <v>177</v>
      </c>
      <c r="J23" s="33" t="s">
        <v>42</v>
      </c>
      <c r="K23" s="128">
        <v>22526.0</v>
      </c>
      <c r="L23" s="137" t="s">
        <v>178</v>
      </c>
      <c r="M23" s="120" t="s">
        <v>179</v>
      </c>
      <c r="N23" s="33" t="s">
        <v>56</v>
      </c>
      <c r="O23" s="120" t="s">
        <v>180</v>
      </c>
      <c r="P23" s="114">
        <v>626872.0</v>
      </c>
      <c r="Q23" s="114">
        <f t="shared" si="3"/>
        <v>20</v>
      </c>
      <c r="R23" s="122"/>
      <c r="S23" s="123">
        <v>45473.0</v>
      </c>
      <c r="T23" s="59"/>
      <c r="U23" s="124">
        <f t="shared" si="1"/>
        <v>62.86849315</v>
      </c>
      <c r="V23" s="125">
        <f t="shared" si="2"/>
        <v>64.90958904</v>
      </c>
      <c r="W23" s="112"/>
      <c r="X23" s="112"/>
      <c r="Y23" s="59"/>
      <c r="Z23" s="59"/>
    </row>
    <row r="24" ht="33.75" customHeight="1">
      <c r="A24" s="138" t="s">
        <v>25</v>
      </c>
      <c r="B24" s="114" t="s">
        <v>27</v>
      </c>
      <c r="C24" s="127" t="s">
        <v>54</v>
      </c>
      <c r="D24" s="42" t="s">
        <v>40</v>
      </c>
      <c r="E24" s="115" t="s">
        <v>30</v>
      </c>
      <c r="F24" s="115" t="s">
        <v>29</v>
      </c>
      <c r="G24" s="115" t="s">
        <v>30</v>
      </c>
      <c r="H24" s="42" t="s">
        <v>48</v>
      </c>
      <c r="I24" s="139"/>
      <c r="J24" s="42" t="s">
        <v>42</v>
      </c>
      <c r="K24" s="140">
        <v>27546.0</v>
      </c>
      <c r="L24" s="137" t="s">
        <v>181</v>
      </c>
      <c r="M24" s="141" t="s">
        <v>182</v>
      </c>
      <c r="N24" s="172" t="s">
        <v>35</v>
      </c>
      <c r="O24" s="142" t="s">
        <v>183</v>
      </c>
      <c r="P24" s="138">
        <v>696346.0</v>
      </c>
      <c r="Q24" s="138">
        <f t="shared" si="3"/>
        <v>21</v>
      </c>
      <c r="R24" s="129"/>
      <c r="S24" s="123">
        <v>45473.0</v>
      </c>
      <c r="T24" s="59"/>
      <c r="U24" s="124">
        <f t="shared" si="1"/>
        <v>49.11506849</v>
      </c>
      <c r="V24" s="125">
        <f t="shared" si="2"/>
        <v>51.15616438</v>
      </c>
      <c r="W24" s="108"/>
      <c r="X24" s="112"/>
      <c r="Y24" s="59"/>
      <c r="Z24" s="59"/>
    </row>
    <row r="25" ht="33.75" customHeight="1">
      <c r="A25" s="138" t="s">
        <v>25</v>
      </c>
      <c r="B25" s="143" t="s">
        <v>75</v>
      </c>
      <c r="C25" s="134" t="s">
        <v>76</v>
      </c>
      <c r="D25" s="42" t="s">
        <v>40</v>
      </c>
      <c r="E25" s="115" t="s">
        <v>30</v>
      </c>
      <c r="F25" s="115" t="s">
        <v>29</v>
      </c>
      <c r="G25" s="115" t="s">
        <v>30</v>
      </c>
      <c r="H25" s="42" t="s">
        <v>41</v>
      </c>
      <c r="I25" s="135" t="s">
        <v>77</v>
      </c>
      <c r="J25" s="42" t="s">
        <v>42</v>
      </c>
      <c r="K25" s="144">
        <v>30189.0</v>
      </c>
      <c r="L25" s="137" t="s">
        <v>78</v>
      </c>
      <c r="M25" s="141" t="s">
        <v>79</v>
      </c>
      <c r="N25" s="42" t="s">
        <v>35</v>
      </c>
      <c r="O25" s="142" t="s">
        <v>80</v>
      </c>
      <c r="P25" s="121">
        <v>699653.0</v>
      </c>
      <c r="Q25" s="138">
        <f t="shared" si="3"/>
        <v>22</v>
      </c>
      <c r="R25" s="122"/>
      <c r="S25" s="123">
        <v>45473.0</v>
      </c>
      <c r="T25" s="59"/>
      <c r="U25" s="124">
        <f t="shared" si="1"/>
        <v>41.8739726</v>
      </c>
      <c r="V25" s="125">
        <f t="shared" si="2"/>
        <v>43.91506849</v>
      </c>
      <c r="W25" s="108"/>
      <c r="X25" s="112"/>
      <c r="Y25" s="59"/>
      <c r="Z25" s="59"/>
    </row>
    <row r="26" ht="33.75" customHeight="1">
      <c r="A26" s="138" t="s">
        <v>25</v>
      </c>
      <c r="B26" s="114" t="s">
        <v>27</v>
      </c>
      <c r="C26" s="115" t="s">
        <v>39</v>
      </c>
      <c r="D26" s="42" t="s">
        <v>40</v>
      </c>
      <c r="E26" s="115" t="s">
        <v>30</v>
      </c>
      <c r="F26" s="115" t="s">
        <v>29</v>
      </c>
      <c r="G26" s="115" t="s">
        <v>30</v>
      </c>
      <c r="H26" s="42" t="s">
        <v>41</v>
      </c>
      <c r="I26" s="139"/>
      <c r="J26" s="42" t="s">
        <v>42</v>
      </c>
      <c r="K26" s="140">
        <v>26665.0</v>
      </c>
      <c r="L26" s="145" t="s">
        <v>82</v>
      </c>
      <c r="M26" s="146" t="s">
        <v>83</v>
      </c>
      <c r="N26" s="172" t="s">
        <v>35</v>
      </c>
      <c r="O26" s="142" t="s">
        <v>84</v>
      </c>
      <c r="P26" s="143">
        <v>632609.0</v>
      </c>
      <c r="Q26" s="138">
        <f t="shared" si="3"/>
        <v>23</v>
      </c>
      <c r="R26" s="129"/>
      <c r="S26" s="123">
        <v>45473.0</v>
      </c>
      <c r="T26" s="59"/>
      <c r="U26" s="124">
        <f t="shared" si="1"/>
        <v>51.52876712</v>
      </c>
      <c r="V26" s="125">
        <f t="shared" si="2"/>
        <v>53.56986301</v>
      </c>
      <c r="W26" s="108"/>
      <c r="X26" s="112"/>
      <c r="Y26" s="59"/>
      <c r="Z26" s="59"/>
    </row>
    <row r="27" ht="33.75" customHeight="1">
      <c r="A27" s="138" t="s">
        <v>25</v>
      </c>
      <c r="B27" s="114" t="s">
        <v>27</v>
      </c>
      <c r="C27" s="115" t="s">
        <v>39</v>
      </c>
      <c r="D27" s="42" t="s">
        <v>40</v>
      </c>
      <c r="E27" s="115" t="s">
        <v>30</v>
      </c>
      <c r="F27" s="115" t="s">
        <v>29</v>
      </c>
      <c r="G27" s="115" t="s">
        <v>30</v>
      </c>
      <c r="H27" s="42" t="s">
        <v>41</v>
      </c>
      <c r="I27" s="135" t="s">
        <v>185</v>
      </c>
      <c r="J27" s="42" t="s">
        <v>42</v>
      </c>
      <c r="K27" s="140">
        <v>26511.0</v>
      </c>
      <c r="L27" s="147" t="s">
        <v>186</v>
      </c>
      <c r="M27" s="148" t="s">
        <v>187</v>
      </c>
      <c r="N27" s="42" t="s">
        <v>35</v>
      </c>
      <c r="O27" s="142" t="s">
        <v>188</v>
      </c>
      <c r="P27" s="121">
        <v>626847.0</v>
      </c>
      <c r="Q27" s="138">
        <f t="shared" si="3"/>
        <v>24</v>
      </c>
      <c r="R27" s="122"/>
      <c r="S27" s="123">
        <v>45473.0</v>
      </c>
      <c r="T27" s="59"/>
      <c r="U27" s="124">
        <f t="shared" si="1"/>
        <v>51.95068493</v>
      </c>
      <c r="V27" s="125">
        <f t="shared" si="2"/>
        <v>53.99178082</v>
      </c>
      <c r="W27" s="108"/>
      <c r="X27" s="112"/>
      <c r="Y27" s="59"/>
      <c r="Z27" s="59"/>
    </row>
    <row r="28" ht="33.75" customHeight="1">
      <c r="A28" s="138" t="s">
        <v>25</v>
      </c>
      <c r="B28" s="121" t="s">
        <v>53</v>
      </c>
      <c r="C28" s="134" t="s">
        <v>76</v>
      </c>
      <c r="D28" s="42" t="s">
        <v>40</v>
      </c>
      <c r="E28" s="115" t="s">
        <v>30</v>
      </c>
      <c r="F28" s="115" t="s">
        <v>29</v>
      </c>
      <c r="G28" s="115" t="s">
        <v>30</v>
      </c>
      <c r="H28" s="42" t="s">
        <v>31</v>
      </c>
      <c r="I28" s="135" t="s">
        <v>86</v>
      </c>
      <c r="J28" s="42" t="s">
        <v>42</v>
      </c>
      <c r="K28" s="140">
        <v>29543.0</v>
      </c>
      <c r="L28" s="137" t="s">
        <v>87</v>
      </c>
      <c r="M28" s="141" t="s">
        <v>88</v>
      </c>
      <c r="N28" s="42" t="s">
        <v>35</v>
      </c>
      <c r="O28" s="149" t="s">
        <v>89</v>
      </c>
      <c r="P28" s="121">
        <v>76290.0</v>
      </c>
      <c r="Q28" s="138">
        <f t="shared" si="3"/>
        <v>25</v>
      </c>
      <c r="R28" s="122"/>
      <c r="S28" s="123">
        <v>45473.0</v>
      </c>
      <c r="T28" s="59"/>
      <c r="U28" s="124">
        <f t="shared" si="1"/>
        <v>43.64383562</v>
      </c>
      <c r="V28" s="125">
        <f t="shared" si="2"/>
        <v>45.68493151</v>
      </c>
      <c r="W28" s="112"/>
      <c r="X28" s="112"/>
      <c r="Y28" s="59"/>
      <c r="Z28" s="59"/>
    </row>
    <row r="29" ht="33.75" customHeight="1">
      <c r="A29" s="138" t="s">
        <v>25</v>
      </c>
      <c r="B29" s="121" t="s">
        <v>27</v>
      </c>
      <c r="C29" s="134" t="s">
        <v>76</v>
      </c>
      <c r="D29" s="42" t="s">
        <v>40</v>
      </c>
      <c r="E29" s="115" t="s">
        <v>30</v>
      </c>
      <c r="F29" s="115" t="s">
        <v>29</v>
      </c>
      <c r="G29" s="115" t="s">
        <v>30</v>
      </c>
      <c r="H29" s="33" t="s">
        <v>48</v>
      </c>
      <c r="I29" s="139"/>
      <c r="J29" s="42" t="s">
        <v>42</v>
      </c>
      <c r="K29" s="140">
        <v>25571.0</v>
      </c>
      <c r="L29" s="147" t="s">
        <v>190</v>
      </c>
      <c r="M29" s="148" t="s">
        <v>191</v>
      </c>
      <c r="N29" s="172" t="s">
        <v>35</v>
      </c>
      <c r="O29" s="149" t="s">
        <v>192</v>
      </c>
      <c r="P29" s="121">
        <v>700623.0</v>
      </c>
      <c r="Q29" s="138">
        <f t="shared" si="3"/>
        <v>26</v>
      </c>
      <c r="R29" s="129"/>
      <c r="S29" s="123">
        <v>45473.0</v>
      </c>
      <c r="T29" s="59"/>
      <c r="U29" s="124">
        <f t="shared" si="1"/>
        <v>54.5260274</v>
      </c>
      <c r="V29" s="125">
        <f t="shared" si="2"/>
        <v>56.56712329</v>
      </c>
      <c r="W29" s="112"/>
      <c r="X29" s="112"/>
      <c r="Y29" s="59"/>
      <c r="Z29" s="59"/>
    </row>
    <row r="30" ht="33.75" customHeight="1">
      <c r="A30" s="138" t="s">
        <v>25</v>
      </c>
      <c r="B30" s="138" t="s">
        <v>47</v>
      </c>
      <c r="C30" s="134" t="s">
        <v>76</v>
      </c>
      <c r="D30" s="42" t="s">
        <v>40</v>
      </c>
      <c r="E30" s="115" t="s">
        <v>30</v>
      </c>
      <c r="F30" s="115" t="s">
        <v>29</v>
      </c>
      <c r="G30" s="115" t="s">
        <v>30</v>
      </c>
      <c r="H30" s="42" t="s">
        <v>31</v>
      </c>
      <c r="I30" s="150" t="s">
        <v>91</v>
      </c>
      <c r="J30" s="42" t="s">
        <v>42</v>
      </c>
      <c r="K30" s="140">
        <v>22937.0</v>
      </c>
      <c r="L30" s="147" t="s">
        <v>92</v>
      </c>
      <c r="M30" s="148" t="s">
        <v>93</v>
      </c>
      <c r="N30" s="42" t="s">
        <v>56</v>
      </c>
      <c r="O30" s="149" t="s">
        <v>94</v>
      </c>
      <c r="P30" s="143">
        <v>701872.0</v>
      </c>
      <c r="Q30" s="138">
        <f t="shared" si="3"/>
        <v>27</v>
      </c>
      <c r="R30" s="122"/>
      <c r="S30" s="123">
        <v>45473.0</v>
      </c>
      <c r="T30" s="59"/>
      <c r="U30" s="124">
        <f t="shared" si="1"/>
        <v>61.74246575</v>
      </c>
      <c r="V30" s="125">
        <f t="shared" si="2"/>
        <v>63.78356164</v>
      </c>
      <c r="W30" s="112"/>
      <c r="X30" s="108">
        <v>13.0</v>
      </c>
      <c r="Y30" s="59"/>
      <c r="Z30" s="59"/>
    </row>
    <row r="31" ht="33.75" customHeight="1">
      <c r="A31" s="138" t="s">
        <v>25</v>
      </c>
      <c r="B31" s="138" t="s">
        <v>47</v>
      </c>
      <c r="C31" s="134" t="s">
        <v>115</v>
      </c>
      <c r="D31" s="115" t="s">
        <v>29</v>
      </c>
      <c r="E31" s="115" t="s">
        <v>30</v>
      </c>
      <c r="F31" s="115" t="s">
        <v>29</v>
      </c>
      <c r="G31" s="115" t="s">
        <v>30</v>
      </c>
      <c r="H31" s="151" t="s">
        <v>116</v>
      </c>
      <c r="I31" s="150" t="s">
        <v>117</v>
      </c>
      <c r="J31" s="42" t="s">
        <v>42</v>
      </c>
      <c r="K31" s="152">
        <v>28888.0</v>
      </c>
      <c r="L31" s="137" t="s">
        <v>118</v>
      </c>
      <c r="M31" s="141" t="s">
        <v>119</v>
      </c>
      <c r="N31" s="42" t="s">
        <v>35</v>
      </c>
      <c r="O31" s="149" t="s">
        <v>120</v>
      </c>
      <c r="P31" s="143">
        <v>696463.0</v>
      </c>
      <c r="Q31" s="138">
        <f t="shared" si="3"/>
        <v>28</v>
      </c>
      <c r="R31" s="122"/>
      <c r="S31" s="123">
        <v>45473.0</v>
      </c>
      <c r="T31" s="59"/>
      <c r="U31" s="124">
        <f t="shared" si="1"/>
        <v>45.43835616</v>
      </c>
      <c r="V31" s="125">
        <f t="shared" si="2"/>
        <v>47.47945205</v>
      </c>
      <c r="W31" s="112"/>
      <c r="X31" s="108">
        <v>13.0</v>
      </c>
      <c r="Y31" s="59"/>
      <c r="Z31" s="59"/>
    </row>
    <row r="32" ht="33.0" customHeight="1">
      <c r="A32" s="113" t="s">
        <v>25</v>
      </c>
      <c r="B32" s="117" t="s">
        <v>53</v>
      </c>
      <c r="C32" s="127" t="s">
        <v>54</v>
      </c>
      <c r="D32" s="115" t="s">
        <v>40</v>
      </c>
      <c r="E32" s="115" t="s">
        <v>30</v>
      </c>
      <c r="F32" s="115" t="s">
        <v>29</v>
      </c>
      <c r="G32" s="115" t="s">
        <v>30</v>
      </c>
      <c r="H32" s="33" t="s">
        <v>31</v>
      </c>
      <c r="I32" s="33" t="s">
        <v>40</v>
      </c>
      <c r="J32" s="33" t="s">
        <v>42</v>
      </c>
      <c r="K32" s="128">
        <v>22922.0</v>
      </c>
      <c r="L32" s="119" t="s">
        <v>193</v>
      </c>
      <c r="M32" s="120" t="s">
        <v>194</v>
      </c>
      <c r="N32" s="33" t="s">
        <v>56</v>
      </c>
      <c r="O32" s="120" t="s">
        <v>195</v>
      </c>
      <c r="P32" s="121"/>
      <c r="Q32" s="138">
        <f t="shared" si="3"/>
        <v>29</v>
      </c>
      <c r="R32" s="122"/>
      <c r="S32" s="123">
        <v>45473.0</v>
      </c>
      <c r="T32" s="59"/>
      <c r="U32" s="124">
        <f t="shared" si="1"/>
        <v>61.78356164</v>
      </c>
      <c r="V32" s="125">
        <f t="shared" si="2"/>
        <v>63.82465753</v>
      </c>
      <c r="W32" s="112"/>
      <c r="X32" s="108">
        <v>13.0</v>
      </c>
      <c r="Y32" s="99"/>
      <c r="Z32" s="99"/>
    </row>
    <row r="33" ht="33.0" customHeight="1">
      <c r="A33" s="38" t="s">
        <v>25</v>
      </c>
      <c r="B33" s="153" t="s">
        <v>53</v>
      </c>
      <c r="C33" s="154" t="s">
        <v>54</v>
      </c>
      <c r="D33" s="155" t="s">
        <v>96</v>
      </c>
      <c r="E33" s="155" t="s">
        <v>97</v>
      </c>
      <c r="F33" s="155" t="s">
        <v>98</v>
      </c>
      <c r="G33" s="154" t="s">
        <v>30</v>
      </c>
      <c r="H33" s="156" t="s">
        <v>111</v>
      </c>
      <c r="I33" s="156" t="s">
        <v>40</v>
      </c>
      <c r="J33" s="156" t="s">
        <v>42</v>
      </c>
      <c r="K33" s="70">
        <v>18272.0</v>
      </c>
      <c r="L33" s="157" t="s">
        <v>197</v>
      </c>
      <c r="M33" s="158" t="s">
        <v>198</v>
      </c>
      <c r="N33" s="156" t="s">
        <v>56</v>
      </c>
      <c r="O33" s="158" t="s">
        <v>199</v>
      </c>
      <c r="P33" s="159"/>
      <c r="Q33" s="138">
        <f t="shared" si="3"/>
        <v>30</v>
      </c>
      <c r="R33" s="122"/>
      <c r="S33" s="123">
        <v>45473.0</v>
      </c>
      <c r="T33" s="59"/>
      <c r="U33" s="124">
        <f t="shared" si="1"/>
        <v>74.52328767</v>
      </c>
      <c r="V33" s="125">
        <f t="shared" si="2"/>
        <v>76.56438356</v>
      </c>
      <c r="W33" s="112"/>
      <c r="X33" s="108">
        <v>13.0</v>
      </c>
      <c r="Y33" s="99"/>
      <c r="Z33" s="99"/>
    </row>
    <row r="34">
      <c r="A34" s="91"/>
      <c r="B34" s="91"/>
      <c r="C34" s="91"/>
      <c r="D34" s="91"/>
      <c r="E34" s="91"/>
      <c r="F34" s="91"/>
      <c r="G34" s="91"/>
      <c r="H34" s="91"/>
      <c r="I34" s="162"/>
      <c r="J34" s="91"/>
      <c r="K34" s="98"/>
      <c r="L34" s="163"/>
      <c r="M34" s="91"/>
      <c r="N34" s="91"/>
      <c r="O34" s="91"/>
      <c r="P34" s="91"/>
      <c r="Q34" s="91"/>
      <c r="R34" s="97"/>
      <c r="S34" s="98"/>
      <c r="T34" s="99"/>
      <c r="U34" s="99"/>
      <c r="V34" s="99"/>
      <c r="W34" s="99"/>
      <c r="X34" s="99"/>
      <c r="Y34" s="99"/>
      <c r="Z34" s="99"/>
    </row>
    <row r="35">
      <c r="A35" s="91"/>
      <c r="B35" s="91"/>
      <c r="C35" s="91"/>
      <c r="D35" s="91"/>
      <c r="E35" s="91"/>
      <c r="F35" s="91"/>
      <c r="G35" s="91"/>
      <c r="H35" s="91"/>
      <c r="I35" s="162"/>
      <c r="J35" s="91"/>
      <c r="K35" s="98"/>
      <c r="L35" s="163"/>
      <c r="M35" s="91"/>
      <c r="N35" s="91"/>
      <c r="O35" s="91"/>
      <c r="P35" s="91"/>
      <c r="Q35" s="91"/>
      <c r="R35" s="97"/>
      <c r="S35" s="98"/>
      <c r="T35" s="99"/>
      <c r="U35" s="99"/>
      <c r="V35" s="99"/>
      <c r="W35" s="99"/>
      <c r="X35" s="99"/>
      <c r="Y35" s="99"/>
      <c r="Z35" s="99"/>
    </row>
    <row r="36">
      <c r="A36" s="91"/>
      <c r="B36" s="91"/>
      <c r="C36" s="164"/>
      <c r="D36" s="25"/>
      <c r="E36" s="25"/>
      <c r="F36" s="25"/>
      <c r="G36" s="91"/>
      <c r="H36" s="165" t="s">
        <v>200</v>
      </c>
      <c r="K36" s="98"/>
      <c r="L36" s="163"/>
      <c r="M36" s="164"/>
      <c r="N36" s="25"/>
      <c r="O36" s="165" t="s">
        <v>201</v>
      </c>
      <c r="R36" s="97"/>
      <c r="S36" s="98"/>
      <c r="T36" s="99"/>
      <c r="U36" s="99"/>
      <c r="V36" s="99"/>
      <c r="W36" s="99"/>
      <c r="X36" s="99"/>
      <c r="Y36" s="99"/>
      <c r="Z36" s="99"/>
    </row>
    <row r="37">
      <c r="A37" s="91"/>
      <c r="B37" s="91"/>
      <c r="C37" s="91"/>
      <c r="D37" s="91"/>
      <c r="E37" s="91"/>
      <c r="F37" s="91"/>
      <c r="G37" s="91"/>
      <c r="H37" s="91"/>
      <c r="I37" s="91"/>
      <c r="J37" s="91"/>
      <c r="K37" s="98"/>
      <c r="L37" s="163"/>
      <c r="M37" s="91"/>
      <c r="N37" s="91"/>
      <c r="O37" s="91"/>
      <c r="P37" s="91"/>
      <c r="Q37" s="91"/>
      <c r="R37" s="97"/>
      <c r="S37" s="98"/>
      <c r="T37" s="99"/>
      <c r="U37" s="99"/>
      <c r="V37" s="99"/>
      <c r="W37" s="99"/>
      <c r="X37" s="99"/>
      <c r="Y37" s="99"/>
      <c r="Z37" s="99"/>
    </row>
    <row r="38">
      <c r="A38" s="91"/>
      <c r="B38" s="91"/>
      <c r="C38" s="91"/>
      <c r="D38" s="91"/>
      <c r="E38" s="91"/>
      <c r="F38" s="91"/>
      <c r="G38" s="91"/>
      <c r="H38" s="91"/>
      <c r="I38" s="162"/>
      <c r="J38" s="91"/>
      <c r="K38" s="98"/>
      <c r="L38" s="166"/>
      <c r="M38" s="167">
        <v>44865.0</v>
      </c>
      <c r="N38" s="25"/>
      <c r="O38" s="168" t="s">
        <v>202</v>
      </c>
      <c r="R38" s="97"/>
      <c r="S38" s="98"/>
      <c r="T38" s="99"/>
      <c r="U38" s="99"/>
      <c r="V38" s="99"/>
      <c r="W38" s="99"/>
      <c r="X38" s="99"/>
      <c r="Y38" s="99"/>
      <c r="Z38" s="99"/>
    </row>
  </sheetData>
  <mergeCells count="14">
    <mergeCell ref="D3:E3"/>
    <mergeCell ref="C36:F36"/>
    <mergeCell ref="H36:J36"/>
    <mergeCell ref="M36:N36"/>
    <mergeCell ref="O36:Q36"/>
    <mergeCell ref="M38:N38"/>
    <mergeCell ref="O38:Q38"/>
    <mergeCell ref="B1:D1"/>
    <mergeCell ref="E1:G1"/>
    <mergeCell ref="H1:I1"/>
    <mergeCell ref="J1:K1"/>
    <mergeCell ref="M1:N1"/>
    <mergeCell ref="O1:Q1"/>
    <mergeCell ref="F3:G3"/>
  </mergeCell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 ht="45.0" customHeight="1">
      <c r="A1" s="91"/>
      <c r="B1" s="92">
        <v>44865.0</v>
      </c>
      <c r="C1" s="4"/>
      <c r="D1" s="4"/>
      <c r="E1" s="93" t="s">
        <v>0</v>
      </c>
      <c r="H1" s="94" t="s">
        <v>1</v>
      </c>
      <c r="I1" s="4"/>
      <c r="J1" s="93" t="s">
        <v>2</v>
      </c>
      <c r="L1" s="95"/>
      <c r="M1" s="96" t="s">
        <v>3</v>
      </c>
      <c r="N1" s="4"/>
      <c r="O1" s="93" t="s">
        <v>4</v>
      </c>
      <c r="R1" s="97"/>
      <c r="S1" s="98"/>
      <c r="T1" s="99"/>
      <c r="U1" s="99"/>
      <c r="V1" s="99"/>
      <c r="W1" s="99"/>
      <c r="X1" s="99"/>
      <c r="Y1" s="99"/>
      <c r="Z1" s="99"/>
    </row>
    <row r="2">
      <c r="A2" s="100"/>
      <c r="B2" s="100"/>
      <c r="C2" s="100"/>
      <c r="D2" s="100"/>
      <c r="E2" s="100"/>
      <c r="F2" s="100"/>
      <c r="G2" s="100"/>
      <c r="H2" s="100"/>
      <c r="I2" s="101"/>
      <c r="J2" s="100"/>
      <c r="K2" s="102"/>
      <c r="L2" s="103"/>
      <c r="M2" s="100"/>
      <c r="N2" s="100"/>
      <c r="O2" s="100"/>
      <c r="P2" s="100"/>
      <c r="Q2" s="100"/>
      <c r="R2" s="104"/>
      <c r="S2" s="102"/>
    </row>
    <row r="3" ht="49.5" customHeight="1">
      <c r="A3" s="13" t="s">
        <v>5</v>
      </c>
      <c r="B3" s="105" t="s">
        <v>7</v>
      </c>
      <c r="C3" s="105" t="s">
        <v>8</v>
      </c>
      <c r="D3" s="106" t="s">
        <v>9</v>
      </c>
      <c r="E3" s="15"/>
      <c r="F3" s="106" t="s">
        <v>10</v>
      </c>
      <c r="G3" s="15"/>
      <c r="H3" s="105" t="s">
        <v>11</v>
      </c>
      <c r="I3" s="16" t="s">
        <v>12</v>
      </c>
      <c r="J3" s="13" t="s">
        <v>13</v>
      </c>
      <c r="K3" s="105" t="s">
        <v>14</v>
      </c>
      <c r="L3" s="105" t="s">
        <v>15</v>
      </c>
      <c r="M3" s="107" t="s">
        <v>16</v>
      </c>
      <c r="N3" s="105" t="s">
        <v>17</v>
      </c>
      <c r="O3" s="107" t="s">
        <v>18</v>
      </c>
      <c r="P3" s="105" t="s">
        <v>19</v>
      </c>
      <c r="Q3" s="105" t="s">
        <v>20</v>
      </c>
      <c r="R3" s="108"/>
      <c r="S3" s="109" t="s">
        <v>21</v>
      </c>
      <c r="T3" s="59"/>
      <c r="U3" s="110" t="s">
        <v>22</v>
      </c>
      <c r="V3" s="111" t="s">
        <v>23</v>
      </c>
      <c r="W3" s="112"/>
      <c r="X3" s="112"/>
      <c r="Y3" s="59"/>
      <c r="Z3" s="59"/>
    </row>
    <row r="4" ht="33.75" customHeight="1">
      <c r="A4" s="113" t="s">
        <v>25</v>
      </c>
      <c r="B4" s="114" t="s">
        <v>27</v>
      </c>
      <c r="C4" s="33" t="s">
        <v>28</v>
      </c>
      <c r="D4" s="115" t="s">
        <v>29</v>
      </c>
      <c r="E4" s="115" t="s">
        <v>30</v>
      </c>
      <c r="F4" s="115" t="s">
        <v>29</v>
      </c>
      <c r="G4" s="115" t="s">
        <v>30</v>
      </c>
      <c r="H4" s="33" t="s">
        <v>31</v>
      </c>
      <c r="I4" s="116" t="s">
        <v>32</v>
      </c>
      <c r="J4" s="117">
        <v>1994.0</v>
      </c>
      <c r="K4" s="118">
        <v>29758.0</v>
      </c>
      <c r="L4" s="119" t="s">
        <v>33</v>
      </c>
      <c r="M4" s="120" t="s">
        <v>34</v>
      </c>
      <c r="N4" s="33" t="s">
        <v>35</v>
      </c>
      <c r="O4" s="120" t="s">
        <v>36</v>
      </c>
      <c r="P4" s="121">
        <v>85855.0</v>
      </c>
      <c r="Q4" s="114">
        <v>1.0</v>
      </c>
      <c r="R4" s="122"/>
      <c r="S4" s="123">
        <v>45382.0</v>
      </c>
      <c r="T4" s="59"/>
      <c r="U4" s="124">
        <f t="shared" ref="U4:U32" si="1">(S4-K4)/365</f>
        <v>42.80547945</v>
      </c>
      <c r="V4" s="125">
        <f t="shared" ref="V4:V32" si="2">(TODAY()-K4)/365</f>
        <v>45.09589041</v>
      </c>
      <c r="W4" s="108"/>
      <c r="X4" s="112"/>
      <c r="Y4" s="59"/>
      <c r="Z4" s="59"/>
    </row>
    <row r="5" ht="33.75" customHeight="1">
      <c r="A5" s="113" t="s">
        <v>25</v>
      </c>
      <c r="B5" s="114" t="s">
        <v>27</v>
      </c>
      <c r="C5" s="33" t="s">
        <v>28</v>
      </c>
      <c r="D5" s="115" t="s">
        <v>29</v>
      </c>
      <c r="E5" s="115" t="s">
        <v>30</v>
      </c>
      <c r="F5" s="115" t="s">
        <v>29</v>
      </c>
      <c r="G5" s="115" t="s">
        <v>30</v>
      </c>
      <c r="H5" s="33" t="s">
        <v>31</v>
      </c>
      <c r="I5" s="116" t="s">
        <v>208</v>
      </c>
      <c r="J5" s="33" t="s">
        <v>42</v>
      </c>
      <c r="K5" s="128">
        <v>25114.0</v>
      </c>
      <c r="L5" s="119" t="s">
        <v>209</v>
      </c>
      <c r="M5" s="120" t="s">
        <v>210</v>
      </c>
      <c r="N5" s="33" t="s">
        <v>56</v>
      </c>
      <c r="O5" s="120" t="s">
        <v>211</v>
      </c>
      <c r="P5" s="121">
        <v>699652.0</v>
      </c>
      <c r="Q5" s="114">
        <f t="shared" ref="Q5:Q32" si="3">Q4+1</f>
        <v>2</v>
      </c>
      <c r="R5" s="122"/>
      <c r="S5" s="123">
        <v>45382.0</v>
      </c>
      <c r="T5" s="59"/>
      <c r="U5" s="124">
        <f t="shared" si="1"/>
        <v>55.52876712</v>
      </c>
      <c r="V5" s="125">
        <f t="shared" si="2"/>
        <v>57.81917808</v>
      </c>
      <c r="W5" s="112"/>
      <c r="X5" s="112"/>
      <c r="Y5" s="59"/>
      <c r="Z5" s="59"/>
    </row>
    <row r="6" ht="33.75" customHeight="1">
      <c r="A6" s="113" t="s">
        <v>25</v>
      </c>
      <c r="B6" s="114" t="s">
        <v>47</v>
      </c>
      <c r="C6" s="115" t="s">
        <v>39</v>
      </c>
      <c r="D6" s="33" t="s">
        <v>40</v>
      </c>
      <c r="E6" s="115" t="s">
        <v>30</v>
      </c>
      <c r="F6" s="115" t="s">
        <v>29</v>
      </c>
      <c r="G6" s="115" t="s">
        <v>30</v>
      </c>
      <c r="H6" s="33" t="s">
        <v>41</v>
      </c>
      <c r="I6" s="126">
        <v>0.0</v>
      </c>
      <c r="J6" s="33" t="s">
        <v>42</v>
      </c>
      <c r="K6" s="118">
        <v>29102.0</v>
      </c>
      <c r="L6" s="119" t="s">
        <v>127</v>
      </c>
      <c r="M6" s="120" t="s">
        <v>128</v>
      </c>
      <c r="N6" s="170" t="s">
        <v>35</v>
      </c>
      <c r="O6" s="120" t="s">
        <v>129</v>
      </c>
      <c r="P6" s="114">
        <v>697263.0</v>
      </c>
      <c r="Q6" s="114">
        <f t="shared" si="3"/>
        <v>3</v>
      </c>
      <c r="R6" s="122"/>
      <c r="S6" s="123">
        <v>45382.0</v>
      </c>
      <c r="T6" s="59"/>
      <c r="U6" s="124">
        <f t="shared" si="1"/>
        <v>44.60273973</v>
      </c>
      <c r="V6" s="125">
        <f t="shared" si="2"/>
        <v>46.89315068</v>
      </c>
      <c r="W6" s="108"/>
      <c r="X6" s="112"/>
      <c r="Y6" s="59"/>
      <c r="Z6" s="59"/>
    </row>
    <row r="7" ht="33.75" customHeight="1">
      <c r="A7" s="113" t="s">
        <v>25</v>
      </c>
      <c r="B7" s="114" t="s">
        <v>53</v>
      </c>
      <c r="C7" s="127" t="s">
        <v>54</v>
      </c>
      <c r="D7" s="115" t="s">
        <v>29</v>
      </c>
      <c r="E7" s="115" t="s">
        <v>30</v>
      </c>
      <c r="F7" s="115" t="s">
        <v>29</v>
      </c>
      <c r="G7" s="115" t="s">
        <v>30</v>
      </c>
      <c r="H7" s="33" t="s">
        <v>131</v>
      </c>
      <c r="I7" s="116" t="s">
        <v>132</v>
      </c>
      <c r="J7" s="33" t="s">
        <v>42</v>
      </c>
      <c r="K7" s="128">
        <v>17036.0</v>
      </c>
      <c r="L7" s="119" t="s">
        <v>133</v>
      </c>
      <c r="M7" s="120" t="s">
        <v>134</v>
      </c>
      <c r="N7" s="33" t="s">
        <v>56</v>
      </c>
      <c r="O7" s="120" t="s">
        <v>128</v>
      </c>
      <c r="P7" s="114">
        <v>633202.0</v>
      </c>
      <c r="Q7" s="114">
        <f t="shared" si="3"/>
        <v>4</v>
      </c>
      <c r="R7" s="122"/>
      <c r="S7" s="123">
        <v>45382.0</v>
      </c>
      <c r="T7" s="59"/>
      <c r="U7" s="124">
        <f t="shared" si="1"/>
        <v>77.66027397</v>
      </c>
      <c r="V7" s="125">
        <f t="shared" si="2"/>
        <v>79.95068493</v>
      </c>
      <c r="W7" s="112"/>
      <c r="X7" s="112"/>
      <c r="Y7" s="59"/>
      <c r="Z7" s="59"/>
    </row>
    <row r="8" ht="33.75" customHeight="1">
      <c r="A8" s="113" t="s">
        <v>37</v>
      </c>
      <c r="B8" s="114" t="s">
        <v>75</v>
      </c>
      <c r="C8" s="127" t="s">
        <v>54</v>
      </c>
      <c r="D8" s="33" t="s">
        <v>40</v>
      </c>
      <c r="E8" s="115" t="s">
        <v>30</v>
      </c>
      <c r="F8" s="115" t="s">
        <v>29</v>
      </c>
      <c r="G8" s="115" t="s">
        <v>30</v>
      </c>
      <c r="H8" s="33" t="s">
        <v>48</v>
      </c>
      <c r="I8" s="126">
        <v>0.0</v>
      </c>
      <c r="J8" s="33" t="s">
        <v>42</v>
      </c>
      <c r="K8" s="128">
        <v>19489.0</v>
      </c>
      <c r="L8" s="119" t="s">
        <v>136</v>
      </c>
      <c r="M8" s="120" t="s">
        <v>137</v>
      </c>
      <c r="N8" s="171" t="s">
        <v>56</v>
      </c>
      <c r="O8" s="120" t="s">
        <v>138</v>
      </c>
      <c r="P8" s="114">
        <v>690594.0</v>
      </c>
      <c r="Q8" s="114">
        <f t="shared" si="3"/>
        <v>5</v>
      </c>
      <c r="R8" s="129"/>
      <c r="S8" s="123">
        <v>45382.0</v>
      </c>
      <c r="T8" s="59"/>
      <c r="U8" s="124">
        <f t="shared" si="1"/>
        <v>70.93972603</v>
      </c>
      <c r="V8" s="125">
        <f t="shared" si="2"/>
        <v>73.23013699</v>
      </c>
      <c r="W8" s="112"/>
      <c r="X8" s="112"/>
      <c r="Y8" s="59"/>
      <c r="Z8" s="59"/>
    </row>
    <row r="9" ht="33.75" customHeight="1">
      <c r="A9" s="113" t="s">
        <v>37</v>
      </c>
      <c r="B9" s="114" t="s">
        <v>27</v>
      </c>
      <c r="C9" s="115" t="s">
        <v>39</v>
      </c>
      <c r="D9" s="33" t="s">
        <v>40</v>
      </c>
      <c r="E9" s="115" t="s">
        <v>30</v>
      </c>
      <c r="F9" s="115" t="s">
        <v>29</v>
      </c>
      <c r="G9" s="115" t="s">
        <v>30</v>
      </c>
      <c r="H9" s="33" t="s">
        <v>41</v>
      </c>
      <c r="I9" s="126">
        <v>0.0</v>
      </c>
      <c r="J9" s="33" t="s">
        <v>42</v>
      </c>
      <c r="K9" s="118">
        <v>26511.0</v>
      </c>
      <c r="L9" s="119" t="s">
        <v>43</v>
      </c>
      <c r="M9" s="120" t="s">
        <v>44</v>
      </c>
      <c r="N9" s="170" t="s">
        <v>35</v>
      </c>
      <c r="O9" s="120" t="s">
        <v>45</v>
      </c>
      <c r="P9" s="114">
        <v>629409.0</v>
      </c>
      <c r="Q9" s="114">
        <f t="shared" si="3"/>
        <v>6</v>
      </c>
      <c r="R9" s="129"/>
      <c r="S9" s="123">
        <v>45382.0</v>
      </c>
      <c r="T9" s="59"/>
      <c r="U9" s="124">
        <f t="shared" si="1"/>
        <v>51.70136986</v>
      </c>
      <c r="V9" s="125">
        <f t="shared" si="2"/>
        <v>53.99178082</v>
      </c>
      <c r="W9" s="108"/>
      <c r="X9" s="112"/>
      <c r="Y9" s="59"/>
      <c r="Z9" s="59"/>
    </row>
    <row r="10" ht="33.75" customHeight="1">
      <c r="A10" s="113" t="s">
        <v>37</v>
      </c>
      <c r="B10" s="114" t="s">
        <v>47</v>
      </c>
      <c r="C10" s="115" t="s">
        <v>39</v>
      </c>
      <c r="D10" s="33" t="s">
        <v>40</v>
      </c>
      <c r="E10" s="115" t="s">
        <v>30</v>
      </c>
      <c r="F10" s="115" t="s">
        <v>29</v>
      </c>
      <c r="G10" s="115" t="s">
        <v>30</v>
      </c>
      <c r="H10" s="33" t="s">
        <v>48</v>
      </c>
      <c r="I10" s="126">
        <v>0.0</v>
      </c>
      <c r="J10" s="33" t="s">
        <v>42</v>
      </c>
      <c r="K10" s="128">
        <v>27595.0</v>
      </c>
      <c r="L10" s="119" t="s">
        <v>49</v>
      </c>
      <c r="M10" s="120" t="s">
        <v>50</v>
      </c>
      <c r="N10" s="170" t="s">
        <v>35</v>
      </c>
      <c r="O10" s="120" t="s">
        <v>51</v>
      </c>
      <c r="P10" s="114">
        <v>691771.0</v>
      </c>
      <c r="Q10" s="114">
        <f t="shared" si="3"/>
        <v>7</v>
      </c>
      <c r="R10" s="129"/>
      <c r="S10" s="123">
        <v>45382.0</v>
      </c>
      <c r="T10" s="59"/>
      <c r="U10" s="124">
        <f t="shared" si="1"/>
        <v>48.73150685</v>
      </c>
      <c r="V10" s="125">
        <f t="shared" si="2"/>
        <v>51.02191781</v>
      </c>
      <c r="W10" s="108"/>
      <c r="X10" s="112"/>
      <c r="Y10" s="59"/>
      <c r="Z10" s="59"/>
    </row>
    <row r="11" ht="33.75" customHeight="1">
      <c r="A11" s="113" t="s">
        <v>25</v>
      </c>
      <c r="B11" s="114" t="s">
        <v>53</v>
      </c>
      <c r="C11" s="33" t="s">
        <v>140</v>
      </c>
      <c r="D11" s="33" t="s">
        <v>40</v>
      </c>
      <c r="E11" s="115" t="s">
        <v>30</v>
      </c>
      <c r="F11" s="115" t="s">
        <v>29</v>
      </c>
      <c r="G11" s="115" t="s">
        <v>30</v>
      </c>
      <c r="H11" s="33" t="s">
        <v>48</v>
      </c>
      <c r="I11" s="116" t="s">
        <v>141</v>
      </c>
      <c r="J11" s="33" t="s">
        <v>42</v>
      </c>
      <c r="K11" s="128">
        <v>21596.0</v>
      </c>
      <c r="L11" s="119" t="s">
        <v>142</v>
      </c>
      <c r="M11" s="120" t="s">
        <v>143</v>
      </c>
      <c r="N11" s="33" t="s">
        <v>56</v>
      </c>
      <c r="O11" s="120" t="s">
        <v>204</v>
      </c>
      <c r="P11" s="114">
        <v>600898.0</v>
      </c>
      <c r="Q11" s="114">
        <f t="shared" si="3"/>
        <v>8</v>
      </c>
      <c r="R11" s="122"/>
      <c r="S11" s="123">
        <v>45382.0</v>
      </c>
      <c r="T11" s="59"/>
      <c r="U11" s="124">
        <f t="shared" si="1"/>
        <v>65.16712329</v>
      </c>
      <c r="V11" s="125">
        <f t="shared" si="2"/>
        <v>67.45753425</v>
      </c>
      <c r="W11" s="112"/>
      <c r="X11" s="112"/>
      <c r="Y11" s="59"/>
      <c r="Z11" s="59"/>
    </row>
    <row r="12" ht="33.75" customHeight="1">
      <c r="A12" s="113" t="s">
        <v>25</v>
      </c>
      <c r="B12" s="114" t="s">
        <v>53</v>
      </c>
      <c r="C12" s="127" t="s">
        <v>54</v>
      </c>
      <c r="D12" s="115" t="s">
        <v>29</v>
      </c>
      <c r="E12" s="115" t="s">
        <v>30</v>
      </c>
      <c r="F12" s="115" t="s">
        <v>29</v>
      </c>
      <c r="G12" s="115" t="s">
        <v>30</v>
      </c>
      <c r="H12" s="33" t="s">
        <v>31</v>
      </c>
      <c r="I12" s="130"/>
      <c r="J12" s="33" t="s">
        <v>42</v>
      </c>
      <c r="K12" s="128">
        <v>12965.0</v>
      </c>
      <c r="L12" s="119" t="s">
        <v>146</v>
      </c>
      <c r="M12" s="120" t="s">
        <v>147</v>
      </c>
      <c r="N12" s="171" t="s">
        <v>56</v>
      </c>
      <c r="O12" s="120" t="s">
        <v>148</v>
      </c>
      <c r="P12" s="114">
        <v>626871.0</v>
      </c>
      <c r="Q12" s="114">
        <f t="shared" si="3"/>
        <v>9</v>
      </c>
      <c r="R12" s="129"/>
      <c r="S12" s="123">
        <v>45382.0</v>
      </c>
      <c r="T12" s="59"/>
      <c r="U12" s="124">
        <f t="shared" si="1"/>
        <v>88.81369863</v>
      </c>
      <c r="V12" s="125">
        <f t="shared" si="2"/>
        <v>91.10410959</v>
      </c>
      <c r="W12" s="112"/>
      <c r="X12" s="112"/>
      <c r="Y12" s="59"/>
      <c r="Z12" s="59"/>
    </row>
    <row r="13" ht="33.75" customHeight="1">
      <c r="A13" s="113" t="s">
        <v>25</v>
      </c>
      <c r="B13" s="114" t="s">
        <v>53</v>
      </c>
      <c r="C13" s="127" t="s">
        <v>54</v>
      </c>
      <c r="D13" s="33" t="s">
        <v>40</v>
      </c>
      <c r="E13" s="115" t="s">
        <v>30</v>
      </c>
      <c r="F13" s="115" t="s">
        <v>29</v>
      </c>
      <c r="G13" s="115" t="s">
        <v>30</v>
      </c>
      <c r="H13" s="33" t="s">
        <v>41</v>
      </c>
      <c r="I13" s="130"/>
      <c r="J13" s="33" t="s">
        <v>42</v>
      </c>
      <c r="K13" s="128">
        <v>17434.0</v>
      </c>
      <c r="L13" s="131"/>
      <c r="M13" s="120" t="s">
        <v>55</v>
      </c>
      <c r="N13" s="171" t="s">
        <v>56</v>
      </c>
      <c r="O13" s="120" t="s">
        <v>50</v>
      </c>
      <c r="P13" s="117">
        <v>600790.0</v>
      </c>
      <c r="Q13" s="114">
        <f t="shared" si="3"/>
        <v>10</v>
      </c>
      <c r="R13" s="129"/>
      <c r="S13" s="123">
        <v>45382.0</v>
      </c>
      <c r="T13" s="59"/>
      <c r="U13" s="124">
        <f t="shared" si="1"/>
        <v>76.56986301</v>
      </c>
      <c r="V13" s="125">
        <f t="shared" si="2"/>
        <v>78.86027397</v>
      </c>
      <c r="W13" s="112"/>
      <c r="X13" s="112"/>
      <c r="Y13" s="59"/>
      <c r="Z13" s="59"/>
    </row>
    <row r="14" ht="33.75" customHeight="1">
      <c r="A14" s="113" t="s">
        <v>25</v>
      </c>
      <c r="B14" s="114" t="s">
        <v>53</v>
      </c>
      <c r="C14" s="115" t="s">
        <v>39</v>
      </c>
      <c r="D14" s="33" t="s">
        <v>40</v>
      </c>
      <c r="E14" s="115" t="s">
        <v>30</v>
      </c>
      <c r="F14" s="115" t="s">
        <v>29</v>
      </c>
      <c r="G14" s="115" t="s">
        <v>30</v>
      </c>
      <c r="H14" s="33" t="s">
        <v>41</v>
      </c>
      <c r="I14" s="132" t="s">
        <v>150</v>
      </c>
      <c r="J14" s="33" t="s">
        <v>42</v>
      </c>
      <c r="K14" s="118">
        <v>26988.0</v>
      </c>
      <c r="L14" s="119" t="s">
        <v>151</v>
      </c>
      <c r="M14" s="120" t="s">
        <v>148</v>
      </c>
      <c r="N14" s="33" t="s">
        <v>35</v>
      </c>
      <c r="O14" s="120" t="s">
        <v>152</v>
      </c>
      <c r="P14" s="114">
        <v>629430.0</v>
      </c>
      <c r="Q14" s="114">
        <f t="shared" si="3"/>
        <v>11</v>
      </c>
      <c r="R14" s="122"/>
      <c r="S14" s="123">
        <v>45382.0</v>
      </c>
      <c r="T14" s="59"/>
      <c r="U14" s="124">
        <f t="shared" si="1"/>
        <v>50.39452055</v>
      </c>
      <c r="V14" s="125">
        <f t="shared" si="2"/>
        <v>52.68493151</v>
      </c>
      <c r="W14" s="108"/>
      <c r="X14" s="112"/>
      <c r="Y14" s="59"/>
      <c r="Z14" s="59"/>
    </row>
    <row r="15" ht="33.75" customHeight="1">
      <c r="A15" s="113" t="s">
        <v>25</v>
      </c>
      <c r="B15" s="133"/>
      <c r="C15" s="134" t="s">
        <v>76</v>
      </c>
      <c r="D15" s="33" t="s">
        <v>40</v>
      </c>
      <c r="E15" s="115" t="s">
        <v>30</v>
      </c>
      <c r="F15" s="115" t="s">
        <v>29</v>
      </c>
      <c r="G15" s="115" t="s">
        <v>30</v>
      </c>
      <c r="H15" s="33" t="s">
        <v>154</v>
      </c>
      <c r="I15" s="135" t="s">
        <v>155</v>
      </c>
      <c r="J15" s="33" t="s">
        <v>42</v>
      </c>
      <c r="K15" s="118">
        <v>29319.0</v>
      </c>
      <c r="L15" s="119" t="s">
        <v>156</v>
      </c>
      <c r="M15" s="120" t="s">
        <v>157</v>
      </c>
      <c r="N15" s="33" t="s">
        <v>35</v>
      </c>
      <c r="O15" s="120" t="s">
        <v>158</v>
      </c>
      <c r="P15" s="114">
        <v>73236.0</v>
      </c>
      <c r="Q15" s="114">
        <f t="shared" si="3"/>
        <v>12</v>
      </c>
      <c r="R15" s="122"/>
      <c r="S15" s="123">
        <v>45382.0</v>
      </c>
      <c r="T15" s="59"/>
      <c r="U15" s="124">
        <f t="shared" si="1"/>
        <v>44.00821918</v>
      </c>
      <c r="V15" s="125">
        <f t="shared" si="2"/>
        <v>46.29863014</v>
      </c>
      <c r="W15" s="108"/>
      <c r="X15" s="112"/>
      <c r="Y15" s="59"/>
      <c r="Z15" s="59"/>
    </row>
    <row r="16" ht="33.75" customHeight="1">
      <c r="A16" s="113" t="s">
        <v>25</v>
      </c>
      <c r="B16" s="114" t="s">
        <v>53</v>
      </c>
      <c r="C16" s="127" t="s">
        <v>54</v>
      </c>
      <c r="D16" s="33" t="s">
        <v>40</v>
      </c>
      <c r="E16" s="115" t="s">
        <v>30</v>
      </c>
      <c r="F16" s="115" t="s">
        <v>29</v>
      </c>
      <c r="G16" s="115" t="s">
        <v>30</v>
      </c>
      <c r="H16" s="33" t="s">
        <v>48</v>
      </c>
      <c r="I16" s="130"/>
      <c r="J16" s="33" t="s">
        <v>42</v>
      </c>
      <c r="K16" s="128">
        <v>23484.0</v>
      </c>
      <c r="L16" s="119" t="s">
        <v>205</v>
      </c>
      <c r="M16" s="120" t="s">
        <v>206</v>
      </c>
      <c r="N16" s="171" t="s">
        <v>56</v>
      </c>
      <c r="O16" s="120" t="s">
        <v>207</v>
      </c>
      <c r="P16" s="114">
        <v>629439.0</v>
      </c>
      <c r="Q16" s="114">
        <f t="shared" si="3"/>
        <v>13</v>
      </c>
      <c r="R16" s="129"/>
      <c r="S16" s="123">
        <v>45382.0</v>
      </c>
      <c r="T16" s="59"/>
      <c r="U16" s="124">
        <f t="shared" si="1"/>
        <v>59.99452055</v>
      </c>
      <c r="V16" s="125">
        <f t="shared" si="2"/>
        <v>62.28493151</v>
      </c>
      <c r="W16" s="112"/>
      <c r="X16" s="112"/>
      <c r="Y16" s="59"/>
      <c r="Z16" s="59"/>
    </row>
    <row r="17" ht="33.75" customHeight="1">
      <c r="A17" s="113" t="s">
        <v>25</v>
      </c>
      <c r="B17" s="114" t="s">
        <v>75</v>
      </c>
      <c r="C17" s="115" t="s">
        <v>39</v>
      </c>
      <c r="D17" s="33" t="s">
        <v>40</v>
      </c>
      <c r="E17" s="115" t="s">
        <v>30</v>
      </c>
      <c r="F17" s="115" t="s">
        <v>29</v>
      </c>
      <c r="G17" s="115" t="s">
        <v>30</v>
      </c>
      <c r="H17" s="33" t="s">
        <v>41</v>
      </c>
      <c r="I17" s="130"/>
      <c r="J17" s="33" t="s">
        <v>42</v>
      </c>
      <c r="K17" s="118">
        <v>29895.0</v>
      </c>
      <c r="L17" s="119" t="s">
        <v>160</v>
      </c>
      <c r="M17" s="120" t="s">
        <v>161</v>
      </c>
      <c r="N17" s="170" t="s">
        <v>35</v>
      </c>
      <c r="O17" s="120" t="s">
        <v>162</v>
      </c>
      <c r="P17" s="114">
        <v>698781.0</v>
      </c>
      <c r="Q17" s="114">
        <f t="shared" si="3"/>
        <v>14</v>
      </c>
      <c r="R17" s="129"/>
      <c r="S17" s="123">
        <v>45382.0</v>
      </c>
      <c r="T17" s="59"/>
      <c r="U17" s="124">
        <f t="shared" si="1"/>
        <v>42.43013699</v>
      </c>
      <c r="V17" s="125">
        <f t="shared" si="2"/>
        <v>44.72054795</v>
      </c>
      <c r="W17" s="108"/>
      <c r="X17" s="112"/>
      <c r="Y17" s="59"/>
      <c r="Z17" s="59"/>
    </row>
    <row r="18" ht="33.75" customHeight="1">
      <c r="A18" s="113" t="s">
        <v>25</v>
      </c>
      <c r="B18" s="114" t="s">
        <v>27</v>
      </c>
      <c r="C18" s="127" t="s">
        <v>54</v>
      </c>
      <c r="D18" s="33" t="s">
        <v>40</v>
      </c>
      <c r="E18" s="115" t="s">
        <v>30</v>
      </c>
      <c r="F18" s="115" t="s">
        <v>29</v>
      </c>
      <c r="G18" s="115" t="s">
        <v>30</v>
      </c>
      <c r="H18" s="33" t="s">
        <v>48</v>
      </c>
      <c r="I18" s="116" t="s">
        <v>164</v>
      </c>
      <c r="J18" s="33" t="s">
        <v>42</v>
      </c>
      <c r="K18" s="118">
        <v>21551.0</v>
      </c>
      <c r="L18" s="119" t="s">
        <v>165</v>
      </c>
      <c r="M18" s="120" t="s">
        <v>80</v>
      </c>
      <c r="N18" s="33" t="s">
        <v>56</v>
      </c>
      <c r="O18" s="120" t="s">
        <v>166</v>
      </c>
      <c r="P18" s="114">
        <v>697260.0</v>
      </c>
      <c r="Q18" s="114">
        <f t="shared" si="3"/>
        <v>15</v>
      </c>
      <c r="R18" s="122"/>
      <c r="S18" s="123">
        <v>45382.0</v>
      </c>
      <c r="T18" s="59"/>
      <c r="U18" s="124">
        <f t="shared" si="1"/>
        <v>65.29041096</v>
      </c>
      <c r="V18" s="125">
        <f t="shared" si="2"/>
        <v>67.58082192</v>
      </c>
      <c r="W18" s="112"/>
      <c r="X18" s="112"/>
      <c r="Y18" s="59"/>
      <c r="Z18" s="59"/>
    </row>
    <row r="19" ht="33.75" customHeight="1">
      <c r="A19" s="113" t="s">
        <v>25</v>
      </c>
      <c r="B19" s="114" t="s">
        <v>27</v>
      </c>
      <c r="C19" s="127" t="s">
        <v>54</v>
      </c>
      <c r="D19" s="33" t="s">
        <v>40</v>
      </c>
      <c r="E19" s="115" t="s">
        <v>30</v>
      </c>
      <c r="F19" s="115" t="s">
        <v>29</v>
      </c>
      <c r="G19" s="115" t="s">
        <v>30</v>
      </c>
      <c r="H19" s="136" t="s">
        <v>58</v>
      </c>
      <c r="I19" s="130"/>
      <c r="J19" s="33" t="s">
        <v>42</v>
      </c>
      <c r="K19" s="128">
        <v>20261.0</v>
      </c>
      <c r="L19" s="119" t="s">
        <v>59</v>
      </c>
      <c r="M19" s="120" t="s">
        <v>60</v>
      </c>
      <c r="N19" s="171" t="s">
        <v>56</v>
      </c>
      <c r="O19" s="120" t="s">
        <v>61</v>
      </c>
      <c r="P19" s="114">
        <v>696347.0</v>
      </c>
      <c r="Q19" s="114">
        <f t="shared" si="3"/>
        <v>16</v>
      </c>
      <c r="R19" s="129"/>
      <c r="S19" s="123">
        <v>45382.0</v>
      </c>
      <c r="T19" s="59"/>
      <c r="U19" s="124">
        <f t="shared" si="1"/>
        <v>68.82465753</v>
      </c>
      <c r="V19" s="125">
        <f t="shared" si="2"/>
        <v>71.11506849</v>
      </c>
      <c r="W19" s="112"/>
      <c r="X19" s="112"/>
      <c r="Y19" s="59"/>
      <c r="Z19" s="59"/>
    </row>
    <row r="20" ht="33.75" customHeight="1">
      <c r="A20" s="113" t="s">
        <v>25</v>
      </c>
      <c r="B20" s="117" t="s">
        <v>168</v>
      </c>
      <c r="C20" s="115" t="s">
        <v>39</v>
      </c>
      <c r="D20" s="33" t="s">
        <v>40</v>
      </c>
      <c r="E20" s="115" t="s">
        <v>30</v>
      </c>
      <c r="F20" s="115" t="s">
        <v>29</v>
      </c>
      <c r="G20" s="115" t="s">
        <v>30</v>
      </c>
      <c r="H20" s="33" t="s">
        <v>41</v>
      </c>
      <c r="I20" s="130"/>
      <c r="J20" s="33" t="s">
        <v>42</v>
      </c>
      <c r="K20" s="128">
        <v>27784.0</v>
      </c>
      <c r="L20" s="119" t="s">
        <v>169</v>
      </c>
      <c r="M20" s="120" t="s">
        <v>170</v>
      </c>
      <c r="N20" s="170" t="s">
        <v>35</v>
      </c>
      <c r="O20" s="120" t="s">
        <v>171</v>
      </c>
      <c r="P20" s="114">
        <v>697262.0</v>
      </c>
      <c r="Q20" s="114">
        <f t="shared" si="3"/>
        <v>17</v>
      </c>
      <c r="R20" s="129"/>
      <c r="S20" s="123">
        <v>45382.0</v>
      </c>
      <c r="T20" s="59"/>
      <c r="U20" s="124">
        <f t="shared" si="1"/>
        <v>48.21369863</v>
      </c>
      <c r="V20" s="125">
        <f t="shared" si="2"/>
        <v>50.50410959</v>
      </c>
      <c r="W20" s="108"/>
      <c r="X20" s="112"/>
      <c r="Y20" s="59"/>
      <c r="Z20" s="59"/>
    </row>
    <row r="21" ht="33.75" customHeight="1">
      <c r="A21" s="113" t="s">
        <v>25</v>
      </c>
      <c r="B21" s="114" t="s">
        <v>53</v>
      </c>
      <c r="C21" s="127" t="s">
        <v>54</v>
      </c>
      <c r="D21" s="33" t="s">
        <v>40</v>
      </c>
      <c r="E21" s="115" t="s">
        <v>30</v>
      </c>
      <c r="F21" s="115" t="s">
        <v>29</v>
      </c>
      <c r="G21" s="115" t="s">
        <v>30</v>
      </c>
      <c r="H21" s="33" t="s">
        <v>63</v>
      </c>
      <c r="I21" s="116" t="s">
        <v>64</v>
      </c>
      <c r="J21" s="33" t="s">
        <v>42</v>
      </c>
      <c r="K21" s="128">
        <v>19786.0</v>
      </c>
      <c r="L21" s="119" t="s">
        <v>65</v>
      </c>
      <c r="M21" s="120" t="s">
        <v>66</v>
      </c>
      <c r="N21" s="33" t="s">
        <v>56</v>
      </c>
      <c r="O21" s="120" t="s">
        <v>67</v>
      </c>
      <c r="P21" s="114">
        <v>633185.0</v>
      </c>
      <c r="Q21" s="114">
        <f t="shared" si="3"/>
        <v>18</v>
      </c>
      <c r="R21" s="122"/>
      <c r="S21" s="123">
        <v>45382.0</v>
      </c>
      <c r="T21" s="59"/>
      <c r="U21" s="124">
        <f t="shared" si="1"/>
        <v>70.1260274</v>
      </c>
      <c r="V21" s="125">
        <f t="shared" si="2"/>
        <v>72.41643836</v>
      </c>
      <c r="W21" s="112"/>
      <c r="X21" s="112"/>
      <c r="Y21" s="59"/>
      <c r="Z21" s="59"/>
    </row>
    <row r="22" ht="33.75" customHeight="1">
      <c r="A22" s="113" t="s">
        <v>25</v>
      </c>
      <c r="B22" s="114" t="s">
        <v>69</v>
      </c>
      <c r="C22" s="115" t="s">
        <v>39</v>
      </c>
      <c r="D22" s="33" t="s">
        <v>40</v>
      </c>
      <c r="E22" s="115" t="s">
        <v>30</v>
      </c>
      <c r="F22" s="115" t="s">
        <v>29</v>
      </c>
      <c r="G22" s="115" t="s">
        <v>30</v>
      </c>
      <c r="H22" s="33" t="s">
        <v>48</v>
      </c>
      <c r="I22" s="130"/>
      <c r="J22" s="33" t="s">
        <v>42</v>
      </c>
      <c r="K22" s="128">
        <v>23531.0</v>
      </c>
      <c r="L22" s="119" t="s">
        <v>71</v>
      </c>
      <c r="M22" s="120" t="s">
        <v>72</v>
      </c>
      <c r="N22" s="33" t="s">
        <v>56</v>
      </c>
      <c r="O22" s="120" t="s">
        <v>73</v>
      </c>
      <c r="P22" s="114">
        <v>626887.0</v>
      </c>
      <c r="Q22" s="114">
        <f t="shared" si="3"/>
        <v>19</v>
      </c>
      <c r="R22" s="122"/>
      <c r="S22" s="123">
        <v>45382.0</v>
      </c>
      <c r="T22" s="59"/>
      <c r="U22" s="124">
        <f t="shared" si="1"/>
        <v>59.86575342</v>
      </c>
      <c r="V22" s="125">
        <f t="shared" si="2"/>
        <v>62.15616438</v>
      </c>
      <c r="W22" s="112"/>
      <c r="X22" s="112"/>
      <c r="Y22" s="59"/>
      <c r="Z22" s="59"/>
    </row>
    <row r="23" ht="33.75" customHeight="1">
      <c r="A23" s="113" t="s">
        <v>25</v>
      </c>
      <c r="B23" s="114" t="s">
        <v>27</v>
      </c>
      <c r="C23" s="127" t="s">
        <v>54</v>
      </c>
      <c r="D23" s="33" t="s">
        <v>40</v>
      </c>
      <c r="E23" s="115" t="s">
        <v>30</v>
      </c>
      <c r="F23" s="115" t="s">
        <v>29</v>
      </c>
      <c r="G23" s="115" t="s">
        <v>30</v>
      </c>
      <c r="H23" s="33" t="s">
        <v>48</v>
      </c>
      <c r="I23" s="130"/>
      <c r="J23" s="33" t="s">
        <v>42</v>
      </c>
      <c r="K23" s="118">
        <v>19299.0</v>
      </c>
      <c r="L23" s="119" t="s">
        <v>173</v>
      </c>
      <c r="M23" s="120" t="s">
        <v>174</v>
      </c>
      <c r="N23" s="171" t="s">
        <v>56</v>
      </c>
      <c r="O23" s="120" t="s">
        <v>175</v>
      </c>
      <c r="P23" s="114">
        <v>629414.0</v>
      </c>
      <c r="Q23" s="114">
        <f t="shared" si="3"/>
        <v>20</v>
      </c>
      <c r="R23" s="129"/>
      <c r="S23" s="123">
        <v>45382.0</v>
      </c>
      <c r="T23" s="59"/>
      <c r="U23" s="124">
        <f t="shared" si="1"/>
        <v>71.46027397</v>
      </c>
      <c r="V23" s="125">
        <f t="shared" si="2"/>
        <v>73.75068493</v>
      </c>
      <c r="W23" s="112"/>
      <c r="X23" s="112"/>
      <c r="Y23" s="59"/>
      <c r="Z23" s="59"/>
    </row>
    <row r="24" ht="33.75" customHeight="1">
      <c r="A24" s="113" t="s">
        <v>25</v>
      </c>
      <c r="B24" s="114" t="s">
        <v>47</v>
      </c>
      <c r="C24" s="115" t="s">
        <v>39</v>
      </c>
      <c r="D24" s="115" t="s">
        <v>29</v>
      </c>
      <c r="E24" s="115" t="s">
        <v>30</v>
      </c>
      <c r="F24" s="115" t="s">
        <v>29</v>
      </c>
      <c r="G24" s="115" t="s">
        <v>30</v>
      </c>
      <c r="H24" s="33" t="s">
        <v>63</v>
      </c>
      <c r="I24" s="135" t="s">
        <v>177</v>
      </c>
      <c r="J24" s="33" t="s">
        <v>42</v>
      </c>
      <c r="K24" s="128">
        <v>22526.0</v>
      </c>
      <c r="L24" s="137" t="s">
        <v>178</v>
      </c>
      <c r="M24" s="120" t="s">
        <v>179</v>
      </c>
      <c r="N24" s="33" t="s">
        <v>56</v>
      </c>
      <c r="O24" s="120" t="s">
        <v>180</v>
      </c>
      <c r="P24" s="114">
        <v>626872.0</v>
      </c>
      <c r="Q24" s="114">
        <f t="shared" si="3"/>
        <v>21</v>
      </c>
      <c r="R24" s="122"/>
      <c r="S24" s="123">
        <v>45382.0</v>
      </c>
      <c r="T24" s="59"/>
      <c r="U24" s="124">
        <f t="shared" si="1"/>
        <v>62.61917808</v>
      </c>
      <c r="V24" s="125">
        <f t="shared" si="2"/>
        <v>64.90958904</v>
      </c>
      <c r="W24" s="112"/>
      <c r="X24" s="112"/>
      <c r="Y24" s="59"/>
      <c r="Z24" s="59"/>
    </row>
    <row r="25" ht="33.75" customHeight="1">
      <c r="A25" s="138" t="s">
        <v>25</v>
      </c>
      <c r="B25" s="114" t="s">
        <v>27</v>
      </c>
      <c r="C25" s="127" t="s">
        <v>54</v>
      </c>
      <c r="D25" s="42" t="s">
        <v>40</v>
      </c>
      <c r="E25" s="115" t="s">
        <v>30</v>
      </c>
      <c r="F25" s="115" t="s">
        <v>29</v>
      </c>
      <c r="G25" s="115" t="s">
        <v>30</v>
      </c>
      <c r="H25" s="42" t="s">
        <v>48</v>
      </c>
      <c r="I25" s="139"/>
      <c r="J25" s="42" t="s">
        <v>42</v>
      </c>
      <c r="K25" s="140">
        <v>27546.0</v>
      </c>
      <c r="L25" s="137" t="s">
        <v>181</v>
      </c>
      <c r="M25" s="141" t="s">
        <v>182</v>
      </c>
      <c r="N25" s="172" t="s">
        <v>35</v>
      </c>
      <c r="O25" s="142" t="s">
        <v>183</v>
      </c>
      <c r="P25" s="138">
        <v>696346.0</v>
      </c>
      <c r="Q25" s="138">
        <f t="shared" si="3"/>
        <v>22</v>
      </c>
      <c r="R25" s="129"/>
      <c r="S25" s="123">
        <v>45382.0</v>
      </c>
      <c r="T25" s="59"/>
      <c r="U25" s="124">
        <f t="shared" si="1"/>
        <v>48.86575342</v>
      </c>
      <c r="V25" s="125">
        <f t="shared" si="2"/>
        <v>51.15616438</v>
      </c>
      <c r="W25" s="108"/>
      <c r="X25" s="112"/>
      <c r="Y25" s="59"/>
      <c r="Z25" s="59"/>
    </row>
    <row r="26" ht="33.75" customHeight="1">
      <c r="A26" s="138" t="s">
        <v>25</v>
      </c>
      <c r="B26" s="143" t="s">
        <v>75</v>
      </c>
      <c r="C26" s="134" t="s">
        <v>76</v>
      </c>
      <c r="D26" s="42" t="s">
        <v>40</v>
      </c>
      <c r="E26" s="115" t="s">
        <v>30</v>
      </c>
      <c r="F26" s="115" t="s">
        <v>29</v>
      </c>
      <c r="G26" s="115" t="s">
        <v>30</v>
      </c>
      <c r="H26" s="42" t="s">
        <v>41</v>
      </c>
      <c r="I26" s="135" t="s">
        <v>77</v>
      </c>
      <c r="J26" s="42" t="s">
        <v>42</v>
      </c>
      <c r="K26" s="144">
        <v>30189.0</v>
      </c>
      <c r="L26" s="137" t="s">
        <v>78</v>
      </c>
      <c r="M26" s="141" t="s">
        <v>79</v>
      </c>
      <c r="N26" s="42" t="s">
        <v>35</v>
      </c>
      <c r="O26" s="142" t="s">
        <v>80</v>
      </c>
      <c r="P26" s="121">
        <v>699653.0</v>
      </c>
      <c r="Q26" s="138">
        <f t="shared" si="3"/>
        <v>23</v>
      </c>
      <c r="R26" s="122"/>
      <c r="S26" s="123">
        <v>45382.0</v>
      </c>
      <c r="T26" s="59"/>
      <c r="U26" s="124">
        <f t="shared" si="1"/>
        <v>41.62465753</v>
      </c>
      <c r="V26" s="125">
        <f t="shared" si="2"/>
        <v>43.91506849</v>
      </c>
      <c r="W26" s="108"/>
      <c r="X26" s="112"/>
      <c r="Y26" s="59"/>
      <c r="Z26" s="59"/>
    </row>
    <row r="27" ht="33.75" customHeight="1">
      <c r="A27" s="138" t="s">
        <v>25</v>
      </c>
      <c r="B27" s="114" t="s">
        <v>27</v>
      </c>
      <c r="C27" s="115" t="s">
        <v>39</v>
      </c>
      <c r="D27" s="42" t="s">
        <v>40</v>
      </c>
      <c r="E27" s="115" t="s">
        <v>30</v>
      </c>
      <c r="F27" s="115" t="s">
        <v>29</v>
      </c>
      <c r="G27" s="115" t="s">
        <v>30</v>
      </c>
      <c r="H27" s="42" t="s">
        <v>41</v>
      </c>
      <c r="I27" s="139"/>
      <c r="J27" s="42" t="s">
        <v>42</v>
      </c>
      <c r="K27" s="140">
        <v>26665.0</v>
      </c>
      <c r="L27" s="145" t="s">
        <v>82</v>
      </c>
      <c r="M27" s="146" t="s">
        <v>83</v>
      </c>
      <c r="N27" s="172" t="s">
        <v>35</v>
      </c>
      <c r="O27" s="142" t="s">
        <v>84</v>
      </c>
      <c r="P27" s="143">
        <v>632609.0</v>
      </c>
      <c r="Q27" s="138">
        <f t="shared" si="3"/>
        <v>24</v>
      </c>
      <c r="R27" s="129"/>
      <c r="S27" s="123">
        <v>45382.0</v>
      </c>
      <c r="T27" s="59"/>
      <c r="U27" s="124">
        <f t="shared" si="1"/>
        <v>51.27945205</v>
      </c>
      <c r="V27" s="125">
        <f t="shared" si="2"/>
        <v>53.56986301</v>
      </c>
      <c r="W27" s="108"/>
      <c r="X27" s="112"/>
      <c r="Y27" s="59"/>
      <c r="Z27" s="59"/>
    </row>
    <row r="28" ht="33.75" customHeight="1">
      <c r="A28" s="138" t="s">
        <v>25</v>
      </c>
      <c r="B28" s="114" t="s">
        <v>27</v>
      </c>
      <c r="C28" s="115" t="s">
        <v>39</v>
      </c>
      <c r="D28" s="42" t="s">
        <v>40</v>
      </c>
      <c r="E28" s="115" t="s">
        <v>30</v>
      </c>
      <c r="F28" s="115" t="s">
        <v>29</v>
      </c>
      <c r="G28" s="115" t="s">
        <v>30</v>
      </c>
      <c r="H28" s="42" t="s">
        <v>41</v>
      </c>
      <c r="I28" s="135" t="s">
        <v>185</v>
      </c>
      <c r="J28" s="42" t="s">
        <v>42</v>
      </c>
      <c r="K28" s="140">
        <v>26511.0</v>
      </c>
      <c r="L28" s="147" t="s">
        <v>186</v>
      </c>
      <c r="M28" s="148" t="s">
        <v>187</v>
      </c>
      <c r="N28" s="42" t="s">
        <v>35</v>
      </c>
      <c r="O28" s="142" t="s">
        <v>188</v>
      </c>
      <c r="P28" s="121">
        <v>626847.0</v>
      </c>
      <c r="Q28" s="138">
        <f t="shared" si="3"/>
        <v>25</v>
      </c>
      <c r="R28" s="122"/>
      <c r="S28" s="123">
        <v>45382.0</v>
      </c>
      <c r="T28" s="59"/>
      <c r="U28" s="124">
        <f t="shared" si="1"/>
        <v>51.70136986</v>
      </c>
      <c r="V28" s="125">
        <f t="shared" si="2"/>
        <v>53.99178082</v>
      </c>
      <c r="W28" s="108"/>
      <c r="X28" s="112"/>
      <c r="Y28" s="59"/>
      <c r="Z28" s="59"/>
    </row>
    <row r="29" ht="33.75" customHeight="1">
      <c r="A29" s="138" t="s">
        <v>25</v>
      </c>
      <c r="B29" s="121" t="s">
        <v>53</v>
      </c>
      <c r="C29" s="134" t="s">
        <v>76</v>
      </c>
      <c r="D29" s="42" t="s">
        <v>40</v>
      </c>
      <c r="E29" s="115" t="s">
        <v>30</v>
      </c>
      <c r="F29" s="115" t="s">
        <v>29</v>
      </c>
      <c r="G29" s="115" t="s">
        <v>30</v>
      </c>
      <c r="H29" s="42" t="s">
        <v>31</v>
      </c>
      <c r="I29" s="135" t="s">
        <v>86</v>
      </c>
      <c r="J29" s="42" t="s">
        <v>42</v>
      </c>
      <c r="K29" s="140">
        <v>29543.0</v>
      </c>
      <c r="L29" s="137" t="s">
        <v>87</v>
      </c>
      <c r="M29" s="141" t="s">
        <v>88</v>
      </c>
      <c r="N29" s="42" t="s">
        <v>35</v>
      </c>
      <c r="O29" s="149" t="s">
        <v>89</v>
      </c>
      <c r="P29" s="121">
        <v>76290.0</v>
      </c>
      <c r="Q29" s="138">
        <f t="shared" si="3"/>
        <v>26</v>
      </c>
      <c r="R29" s="122"/>
      <c r="S29" s="123">
        <v>45382.0</v>
      </c>
      <c r="T29" s="59"/>
      <c r="U29" s="124">
        <f t="shared" si="1"/>
        <v>43.39452055</v>
      </c>
      <c r="V29" s="125">
        <f t="shared" si="2"/>
        <v>45.68493151</v>
      </c>
      <c r="W29" s="112"/>
      <c r="X29" s="112"/>
      <c r="Y29" s="59"/>
      <c r="Z29" s="59"/>
    </row>
    <row r="30" ht="33.75" customHeight="1">
      <c r="A30" s="138" t="s">
        <v>25</v>
      </c>
      <c r="B30" s="121" t="s">
        <v>27</v>
      </c>
      <c r="C30" s="134" t="s">
        <v>76</v>
      </c>
      <c r="D30" s="42" t="s">
        <v>40</v>
      </c>
      <c r="E30" s="115" t="s">
        <v>30</v>
      </c>
      <c r="F30" s="115" t="s">
        <v>29</v>
      </c>
      <c r="G30" s="115" t="s">
        <v>30</v>
      </c>
      <c r="H30" s="33" t="s">
        <v>48</v>
      </c>
      <c r="I30" s="139"/>
      <c r="J30" s="42" t="s">
        <v>42</v>
      </c>
      <c r="K30" s="140">
        <v>25571.0</v>
      </c>
      <c r="L30" s="147" t="s">
        <v>190</v>
      </c>
      <c r="M30" s="148" t="s">
        <v>191</v>
      </c>
      <c r="N30" s="172" t="s">
        <v>35</v>
      </c>
      <c r="O30" s="149" t="s">
        <v>192</v>
      </c>
      <c r="P30" s="121">
        <v>700623.0</v>
      </c>
      <c r="Q30" s="138">
        <f t="shared" si="3"/>
        <v>27</v>
      </c>
      <c r="R30" s="129"/>
      <c r="S30" s="123">
        <v>45382.0</v>
      </c>
      <c r="T30" s="59"/>
      <c r="U30" s="124">
        <f t="shared" si="1"/>
        <v>54.27671233</v>
      </c>
      <c r="V30" s="125">
        <f t="shared" si="2"/>
        <v>56.56712329</v>
      </c>
      <c r="W30" s="112"/>
      <c r="X30" s="112"/>
      <c r="Y30" s="59"/>
      <c r="Z30" s="59"/>
    </row>
    <row r="31" ht="33.75" customHeight="1">
      <c r="A31" s="138" t="s">
        <v>25</v>
      </c>
      <c r="B31" s="138" t="s">
        <v>47</v>
      </c>
      <c r="C31" s="134" t="s">
        <v>76</v>
      </c>
      <c r="D31" s="42" t="s">
        <v>40</v>
      </c>
      <c r="E31" s="115" t="s">
        <v>30</v>
      </c>
      <c r="F31" s="115" t="s">
        <v>29</v>
      </c>
      <c r="G31" s="115" t="s">
        <v>30</v>
      </c>
      <c r="H31" s="42" t="s">
        <v>31</v>
      </c>
      <c r="I31" s="150" t="s">
        <v>91</v>
      </c>
      <c r="J31" s="42" t="s">
        <v>42</v>
      </c>
      <c r="K31" s="140">
        <v>22937.0</v>
      </c>
      <c r="L31" s="147" t="s">
        <v>92</v>
      </c>
      <c r="M31" s="148" t="s">
        <v>93</v>
      </c>
      <c r="N31" s="42" t="s">
        <v>56</v>
      </c>
      <c r="O31" s="149" t="s">
        <v>94</v>
      </c>
      <c r="P31" s="143">
        <v>701872.0</v>
      </c>
      <c r="Q31" s="138">
        <f t="shared" si="3"/>
        <v>28</v>
      </c>
      <c r="R31" s="122"/>
      <c r="S31" s="123">
        <v>45382.0</v>
      </c>
      <c r="T31" s="59"/>
      <c r="U31" s="124">
        <f t="shared" si="1"/>
        <v>61.49315068</v>
      </c>
      <c r="V31" s="125">
        <f t="shared" si="2"/>
        <v>63.78356164</v>
      </c>
      <c r="W31" s="112"/>
      <c r="X31" s="108">
        <v>13.0</v>
      </c>
      <c r="Y31" s="59"/>
      <c r="Z31" s="59"/>
    </row>
    <row r="32" ht="33.75" customHeight="1">
      <c r="A32" s="138" t="s">
        <v>25</v>
      </c>
      <c r="B32" s="138" t="s">
        <v>47</v>
      </c>
      <c r="C32" s="134" t="s">
        <v>115</v>
      </c>
      <c r="D32" s="115" t="s">
        <v>29</v>
      </c>
      <c r="E32" s="115" t="s">
        <v>30</v>
      </c>
      <c r="F32" s="115" t="s">
        <v>29</v>
      </c>
      <c r="G32" s="115" t="s">
        <v>30</v>
      </c>
      <c r="H32" s="151" t="s">
        <v>116</v>
      </c>
      <c r="I32" s="150" t="s">
        <v>117</v>
      </c>
      <c r="J32" s="42" t="s">
        <v>42</v>
      </c>
      <c r="K32" s="152">
        <v>28888.0</v>
      </c>
      <c r="L32" s="137" t="s">
        <v>118</v>
      </c>
      <c r="M32" s="141" t="s">
        <v>119</v>
      </c>
      <c r="N32" s="42" t="s">
        <v>35</v>
      </c>
      <c r="O32" s="149" t="s">
        <v>120</v>
      </c>
      <c r="P32" s="143">
        <v>696463.0</v>
      </c>
      <c r="Q32" s="138">
        <f t="shared" si="3"/>
        <v>29</v>
      </c>
      <c r="R32" s="122"/>
      <c r="S32" s="123">
        <v>45382.0</v>
      </c>
      <c r="T32" s="59"/>
      <c r="U32" s="124">
        <f t="shared" si="1"/>
        <v>45.1890411</v>
      </c>
      <c r="V32" s="125">
        <f t="shared" si="2"/>
        <v>47.47945205</v>
      </c>
      <c r="W32" s="112"/>
      <c r="X32" s="108">
        <v>13.0</v>
      </c>
      <c r="Y32" s="59"/>
      <c r="Z32" s="59"/>
    </row>
    <row r="33">
      <c r="A33" s="91"/>
      <c r="B33" s="91"/>
      <c r="C33" s="91"/>
      <c r="D33" s="91"/>
      <c r="E33" s="91"/>
      <c r="F33" s="91"/>
      <c r="G33" s="91"/>
      <c r="H33" s="91"/>
      <c r="I33" s="162"/>
      <c r="J33" s="91"/>
      <c r="K33" s="98"/>
      <c r="L33" s="163"/>
      <c r="M33" s="91"/>
      <c r="N33" s="91"/>
      <c r="O33" s="91"/>
      <c r="P33" s="91"/>
      <c r="Q33" s="91"/>
      <c r="R33" s="97"/>
      <c r="S33" s="98"/>
      <c r="T33" s="99"/>
      <c r="U33" s="99"/>
      <c r="V33" s="99"/>
      <c r="W33" s="99"/>
      <c r="X33" s="99"/>
      <c r="Y33" s="99"/>
      <c r="Z33" s="99"/>
    </row>
    <row r="34">
      <c r="A34" s="91"/>
      <c r="B34" s="91"/>
      <c r="C34" s="91"/>
      <c r="D34" s="91"/>
      <c r="E34" s="91"/>
      <c r="F34" s="91"/>
      <c r="G34" s="91"/>
      <c r="H34" s="91"/>
      <c r="I34" s="162"/>
      <c r="J34" s="91"/>
      <c r="K34" s="98"/>
      <c r="L34" s="163"/>
      <c r="M34" s="91"/>
      <c r="N34" s="91"/>
      <c r="O34" s="91"/>
      <c r="P34" s="91"/>
      <c r="Q34" s="91"/>
      <c r="R34" s="97"/>
      <c r="S34" s="98"/>
      <c r="T34" s="99"/>
      <c r="U34" s="99"/>
      <c r="V34" s="99"/>
      <c r="W34" s="99"/>
      <c r="X34" s="99"/>
      <c r="Y34" s="99"/>
      <c r="Z34" s="99"/>
    </row>
    <row r="35">
      <c r="A35" s="91"/>
      <c r="B35" s="91"/>
      <c r="C35" s="164"/>
      <c r="D35" s="25"/>
      <c r="E35" s="25"/>
      <c r="F35" s="25"/>
      <c r="G35" s="91"/>
      <c r="H35" s="165" t="s">
        <v>200</v>
      </c>
      <c r="K35" s="98"/>
      <c r="L35" s="163"/>
      <c r="M35" s="164"/>
      <c r="N35" s="25"/>
      <c r="O35" s="165" t="s">
        <v>201</v>
      </c>
      <c r="R35" s="97"/>
      <c r="S35" s="98"/>
      <c r="T35" s="99"/>
      <c r="U35" s="99"/>
      <c r="V35" s="99"/>
      <c r="W35" s="99"/>
      <c r="X35" s="99"/>
      <c r="Y35" s="99"/>
      <c r="Z35" s="99"/>
    </row>
    <row r="36">
      <c r="A36" s="91"/>
      <c r="B36" s="91"/>
      <c r="C36" s="91"/>
      <c r="D36" s="91"/>
      <c r="E36" s="91"/>
      <c r="F36" s="91"/>
      <c r="G36" s="91"/>
      <c r="H36" s="91"/>
      <c r="I36" s="91"/>
      <c r="J36" s="91"/>
      <c r="K36" s="98"/>
      <c r="L36" s="163"/>
      <c r="M36" s="91"/>
      <c r="N36" s="91"/>
      <c r="O36" s="91"/>
      <c r="P36" s="91"/>
      <c r="Q36" s="91"/>
      <c r="R36" s="97"/>
      <c r="S36" s="98"/>
      <c r="T36" s="99"/>
      <c r="U36" s="99"/>
      <c r="V36" s="99"/>
      <c r="W36" s="99"/>
      <c r="X36" s="99"/>
      <c r="Y36" s="99"/>
      <c r="Z36" s="99"/>
    </row>
    <row r="37">
      <c r="A37" s="91"/>
      <c r="B37" s="91"/>
      <c r="C37" s="91"/>
      <c r="D37" s="91"/>
      <c r="E37" s="91"/>
      <c r="F37" s="91"/>
      <c r="G37" s="91"/>
      <c r="H37" s="91"/>
      <c r="I37" s="162"/>
      <c r="J37" s="91"/>
      <c r="K37" s="98"/>
      <c r="L37" s="166"/>
      <c r="M37" s="167">
        <v>44865.0</v>
      </c>
      <c r="N37" s="25"/>
      <c r="O37" s="168" t="s">
        <v>202</v>
      </c>
      <c r="R37" s="97"/>
      <c r="S37" s="98"/>
      <c r="T37" s="99"/>
      <c r="U37" s="99"/>
      <c r="V37" s="99"/>
      <c r="W37" s="99"/>
      <c r="X37" s="99"/>
      <c r="Y37" s="99"/>
      <c r="Z37" s="99"/>
    </row>
  </sheetData>
  <mergeCells count="14">
    <mergeCell ref="D3:E3"/>
    <mergeCell ref="C35:F35"/>
    <mergeCell ref="H35:J35"/>
    <mergeCell ref="M35:N35"/>
    <mergeCell ref="O35:Q35"/>
    <mergeCell ref="M37:N37"/>
    <mergeCell ref="O37:Q37"/>
    <mergeCell ref="B1:D1"/>
    <mergeCell ref="E1:G1"/>
    <mergeCell ref="H1:I1"/>
    <mergeCell ref="J1:K1"/>
    <mergeCell ref="M1:N1"/>
    <mergeCell ref="O1:Q1"/>
    <mergeCell ref="F3:G3"/>
  </mergeCell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8.88"/>
    <col customWidth="1" min="2" max="2" width="11.25"/>
    <col customWidth="1" min="3" max="3" width="11.88"/>
    <col customWidth="1" min="4" max="4" width="7.13"/>
    <col customWidth="1" min="5" max="5" width="5.0"/>
    <col customWidth="1" min="6" max="6" width="6.5"/>
    <col customWidth="1" min="7" max="7" width="4.75"/>
    <col customWidth="1" min="8" max="8" width="17.13"/>
    <col customWidth="1" min="9" max="9" width="13.38"/>
    <col customWidth="1" min="10" max="10" width="15.5"/>
    <col customWidth="1" min="11" max="11" width="12.13"/>
    <col customWidth="1" min="12" max="12" width="15.88"/>
    <col customWidth="1" min="13" max="13" width="21.13"/>
    <col customWidth="1" min="14" max="14" width="21.5"/>
    <col customWidth="1" min="15" max="15" width="23.13"/>
  </cols>
  <sheetData>
    <row r="1" ht="45.0" customHeight="1">
      <c r="A1" s="91"/>
      <c r="B1" s="92">
        <v>44865.0</v>
      </c>
      <c r="C1" s="4"/>
      <c r="D1" s="4"/>
      <c r="E1" s="93" t="s">
        <v>0</v>
      </c>
      <c r="H1" s="94" t="s">
        <v>1</v>
      </c>
      <c r="I1" s="4"/>
      <c r="J1" s="93" t="s">
        <v>2</v>
      </c>
      <c r="L1" s="95"/>
      <c r="M1" s="96" t="s">
        <v>3</v>
      </c>
      <c r="N1" s="4"/>
      <c r="O1" s="93" t="s">
        <v>4</v>
      </c>
      <c r="R1" s="97"/>
      <c r="S1" s="98"/>
      <c r="T1" s="99"/>
      <c r="U1" s="99"/>
      <c r="V1" s="99"/>
      <c r="W1" s="99"/>
      <c r="X1" s="99"/>
      <c r="Y1" s="99"/>
      <c r="Z1" s="99"/>
    </row>
    <row r="2">
      <c r="A2" s="100"/>
      <c r="B2" s="100"/>
      <c r="C2" s="100"/>
      <c r="D2" s="100"/>
      <c r="E2" s="100"/>
      <c r="F2" s="100"/>
      <c r="G2" s="100"/>
      <c r="H2" s="100"/>
      <c r="I2" s="101"/>
      <c r="J2" s="100"/>
      <c r="K2" s="102"/>
      <c r="L2" s="103"/>
      <c r="M2" s="100"/>
      <c r="N2" s="100"/>
      <c r="O2" s="100"/>
      <c r="P2" s="100"/>
      <c r="Q2" s="100"/>
      <c r="R2" s="104"/>
      <c r="S2" s="102"/>
    </row>
    <row r="3" ht="49.5" customHeight="1">
      <c r="A3" s="13" t="s">
        <v>5</v>
      </c>
      <c r="B3" s="105" t="s">
        <v>7</v>
      </c>
      <c r="C3" s="105" t="s">
        <v>8</v>
      </c>
      <c r="D3" s="106" t="s">
        <v>9</v>
      </c>
      <c r="E3" s="15"/>
      <c r="F3" s="106" t="s">
        <v>10</v>
      </c>
      <c r="G3" s="15"/>
      <c r="H3" s="105" t="s">
        <v>11</v>
      </c>
      <c r="I3" s="16" t="s">
        <v>12</v>
      </c>
      <c r="J3" s="13" t="s">
        <v>13</v>
      </c>
      <c r="K3" s="105" t="s">
        <v>14</v>
      </c>
      <c r="L3" s="105" t="s">
        <v>15</v>
      </c>
      <c r="M3" s="107" t="s">
        <v>16</v>
      </c>
      <c r="N3" s="105" t="s">
        <v>17</v>
      </c>
      <c r="O3" s="107" t="s">
        <v>18</v>
      </c>
      <c r="P3" s="105" t="s">
        <v>19</v>
      </c>
      <c r="Q3" s="105" t="s">
        <v>20</v>
      </c>
      <c r="R3" s="108"/>
      <c r="S3" s="109" t="s">
        <v>21</v>
      </c>
      <c r="T3" s="59"/>
      <c r="U3" s="110" t="s">
        <v>22</v>
      </c>
      <c r="V3" s="111" t="s">
        <v>23</v>
      </c>
      <c r="W3" s="112"/>
      <c r="X3" s="112"/>
      <c r="Y3" s="59"/>
      <c r="Z3" s="59"/>
    </row>
    <row r="4" ht="33.75" customHeight="1">
      <c r="A4" s="113" t="s">
        <v>25</v>
      </c>
      <c r="B4" s="114" t="s">
        <v>27</v>
      </c>
      <c r="C4" s="33" t="s">
        <v>28</v>
      </c>
      <c r="D4" s="115" t="s">
        <v>29</v>
      </c>
      <c r="E4" s="115" t="s">
        <v>30</v>
      </c>
      <c r="F4" s="115" t="s">
        <v>29</v>
      </c>
      <c r="G4" s="115" t="s">
        <v>30</v>
      </c>
      <c r="H4" s="33" t="s">
        <v>31</v>
      </c>
      <c r="I4" s="116" t="s">
        <v>32</v>
      </c>
      <c r="J4" s="117">
        <v>1994.0</v>
      </c>
      <c r="K4" s="118">
        <v>29758.0</v>
      </c>
      <c r="L4" s="119" t="s">
        <v>33</v>
      </c>
      <c r="M4" s="120" t="s">
        <v>34</v>
      </c>
      <c r="N4" s="33" t="s">
        <v>35</v>
      </c>
      <c r="O4" s="120" t="s">
        <v>36</v>
      </c>
      <c r="P4" s="121">
        <v>85855.0</v>
      </c>
      <c r="Q4" s="114">
        <v>1.0</v>
      </c>
      <c r="R4" s="122"/>
      <c r="S4" s="123">
        <v>45382.0</v>
      </c>
      <c r="T4" s="59"/>
      <c r="U4" s="124">
        <f t="shared" ref="U4:U32" si="1">(S4-K4)/365</f>
        <v>42.80547945</v>
      </c>
      <c r="V4" s="125">
        <f t="shared" ref="V4:V32" si="2">(TODAY()-K4)/365</f>
        <v>45.09589041</v>
      </c>
      <c r="W4" s="108"/>
      <c r="X4" s="112"/>
      <c r="Y4" s="59"/>
      <c r="Z4" s="59"/>
    </row>
    <row r="5" ht="33.75" customHeight="1">
      <c r="A5" s="113" t="s">
        <v>25</v>
      </c>
      <c r="B5" s="114" t="s">
        <v>27</v>
      </c>
      <c r="C5" s="33" t="s">
        <v>28</v>
      </c>
      <c r="D5" s="115" t="s">
        <v>29</v>
      </c>
      <c r="E5" s="115" t="s">
        <v>30</v>
      </c>
      <c r="F5" s="115" t="s">
        <v>29</v>
      </c>
      <c r="G5" s="115" t="s">
        <v>30</v>
      </c>
      <c r="H5" s="33" t="s">
        <v>31</v>
      </c>
      <c r="I5" s="116" t="s">
        <v>208</v>
      </c>
      <c r="J5" s="33" t="s">
        <v>42</v>
      </c>
      <c r="K5" s="128">
        <v>25114.0</v>
      </c>
      <c r="L5" s="119" t="s">
        <v>209</v>
      </c>
      <c r="M5" s="120" t="s">
        <v>210</v>
      </c>
      <c r="N5" s="33" t="s">
        <v>56</v>
      </c>
      <c r="O5" s="120" t="s">
        <v>211</v>
      </c>
      <c r="P5" s="121">
        <v>699652.0</v>
      </c>
      <c r="Q5" s="114">
        <f t="shared" ref="Q5:Q32" si="3">Q4+1</f>
        <v>2</v>
      </c>
      <c r="R5" s="122"/>
      <c r="S5" s="123">
        <v>45382.0</v>
      </c>
      <c r="T5" s="59"/>
      <c r="U5" s="124">
        <f t="shared" si="1"/>
        <v>55.52876712</v>
      </c>
      <c r="V5" s="125">
        <f t="shared" si="2"/>
        <v>57.81917808</v>
      </c>
      <c r="W5" s="112"/>
      <c r="X5" s="112"/>
      <c r="Y5" s="59"/>
      <c r="Z5" s="59"/>
    </row>
    <row r="6" ht="33.75" customHeight="1">
      <c r="A6" s="113" t="s">
        <v>25</v>
      </c>
      <c r="B6" s="114" t="s">
        <v>47</v>
      </c>
      <c r="C6" s="115" t="s">
        <v>39</v>
      </c>
      <c r="D6" s="33" t="s">
        <v>40</v>
      </c>
      <c r="E6" s="115" t="s">
        <v>30</v>
      </c>
      <c r="F6" s="115" t="s">
        <v>29</v>
      </c>
      <c r="G6" s="115" t="s">
        <v>30</v>
      </c>
      <c r="H6" s="33" t="s">
        <v>41</v>
      </c>
      <c r="I6" s="126">
        <v>0.0</v>
      </c>
      <c r="J6" s="33" t="s">
        <v>42</v>
      </c>
      <c r="K6" s="118">
        <v>29102.0</v>
      </c>
      <c r="L6" s="119" t="s">
        <v>127</v>
      </c>
      <c r="M6" s="120" t="s">
        <v>128</v>
      </c>
      <c r="N6" s="170" t="s">
        <v>35</v>
      </c>
      <c r="O6" s="120" t="s">
        <v>129</v>
      </c>
      <c r="P6" s="114">
        <v>697263.0</v>
      </c>
      <c r="Q6" s="114">
        <f t="shared" si="3"/>
        <v>3</v>
      </c>
      <c r="R6" s="122"/>
      <c r="S6" s="123">
        <v>45382.0</v>
      </c>
      <c r="T6" s="59"/>
      <c r="U6" s="124">
        <f t="shared" si="1"/>
        <v>44.60273973</v>
      </c>
      <c r="V6" s="125">
        <f t="shared" si="2"/>
        <v>46.89315068</v>
      </c>
      <c r="W6" s="108"/>
      <c r="X6" s="112"/>
      <c r="Y6" s="59"/>
      <c r="Z6" s="59"/>
    </row>
    <row r="7" ht="33.75" customHeight="1">
      <c r="A7" s="113" t="s">
        <v>25</v>
      </c>
      <c r="B7" s="114" t="s">
        <v>53</v>
      </c>
      <c r="C7" s="127" t="s">
        <v>54</v>
      </c>
      <c r="D7" s="115" t="s">
        <v>29</v>
      </c>
      <c r="E7" s="115" t="s">
        <v>30</v>
      </c>
      <c r="F7" s="115" t="s">
        <v>29</v>
      </c>
      <c r="G7" s="115" t="s">
        <v>30</v>
      </c>
      <c r="H7" s="33" t="s">
        <v>131</v>
      </c>
      <c r="I7" s="116" t="s">
        <v>132</v>
      </c>
      <c r="J7" s="33" t="s">
        <v>42</v>
      </c>
      <c r="K7" s="128">
        <v>17036.0</v>
      </c>
      <c r="L7" s="119" t="s">
        <v>133</v>
      </c>
      <c r="M7" s="120" t="s">
        <v>134</v>
      </c>
      <c r="N7" s="33" t="s">
        <v>56</v>
      </c>
      <c r="O7" s="120" t="s">
        <v>128</v>
      </c>
      <c r="P7" s="114">
        <v>633202.0</v>
      </c>
      <c r="Q7" s="114">
        <f t="shared" si="3"/>
        <v>4</v>
      </c>
      <c r="R7" s="122"/>
      <c r="S7" s="123">
        <v>45382.0</v>
      </c>
      <c r="T7" s="59"/>
      <c r="U7" s="124">
        <f t="shared" si="1"/>
        <v>77.66027397</v>
      </c>
      <c r="V7" s="125">
        <f t="shared" si="2"/>
        <v>79.95068493</v>
      </c>
      <c r="W7" s="112"/>
      <c r="X7" s="112"/>
      <c r="Y7" s="59"/>
      <c r="Z7" s="59"/>
    </row>
    <row r="8" ht="33.75" customHeight="1">
      <c r="A8" s="113" t="s">
        <v>37</v>
      </c>
      <c r="B8" s="114" t="s">
        <v>75</v>
      </c>
      <c r="C8" s="127" t="s">
        <v>54</v>
      </c>
      <c r="D8" s="33" t="s">
        <v>40</v>
      </c>
      <c r="E8" s="115" t="s">
        <v>30</v>
      </c>
      <c r="F8" s="115" t="s">
        <v>29</v>
      </c>
      <c r="G8" s="115" t="s">
        <v>30</v>
      </c>
      <c r="H8" s="33" t="s">
        <v>48</v>
      </c>
      <c r="I8" s="126">
        <v>0.0</v>
      </c>
      <c r="J8" s="33" t="s">
        <v>42</v>
      </c>
      <c r="K8" s="128">
        <v>19489.0</v>
      </c>
      <c r="L8" s="119" t="s">
        <v>136</v>
      </c>
      <c r="M8" s="120" t="s">
        <v>137</v>
      </c>
      <c r="N8" s="171" t="s">
        <v>56</v>
      </c>
      <c r="O8" s="120" t="s">
        <v>138</v>
      </c>
      <c r="P8" s="114">
        <v>690594.0</v>
      </c>
      <c r="Q8" s="114">
        <f t="shared" si="3"/>
        <v>5</v>
      </c>
      <c r="R8" s="129"/>
      <c r="S8" s="123">
        <v>45382.0</v>
      </c>
      <c r="T8" s="59"/>
      <c r="U8" s="124">
        <f t="shared" si="1"/>
        <v>70.93972603</v>
      </c>
      <c r="V8" s="125">
        <f t="shared" si="2"/>
        <v>73.23013699</v>
      </c>
      <c r="W8" s="112"/>
      <c r="X8" s="112"/>
      <c r="Y8" s="59"/>
      <c r="Z8" s="59"/>
    </row>
    <row r="9" ht="33.75" customHeight="1">
      <c r="A9" s="113" t="s">
        <v>37</v>
      </c>
      <c r="B9" s="114" t="s">
        <v>27</v>
      </c>
      <c r="C9" s="115" t="s">
        <v>39</v>
      </c>
      <c r="D9" s="33" t="s">
        <v>40</v>
      </c>
      <c r="E9" s="115" t="s">
        <v>30</v>
      </c>
      <c r="F9" s="115" t="s">
        <v>29</v>
      </c>
      <c r="G9" s="115" t="s">
        <v>30</v>
      </c>
      <c r="H9" s="33" t="s">
        <v>41</v>
      </c>
      <c r="I9" s="126">
        <v>0.0</v>
      </c>
      <c r="J9" s="33" t="s">
        <v>42</v>
      </c>
      <c r="K9" s="118">
        <v>26511.0</v>
      </c>
      <c r="L9" s="119" t="s">
        <v>43</v>
      </c>
      <c r="M9" s="120" t="s">
        <v>44</v>
      </c>
      <c r="N9" s="170" t="s">
        <v>35</v>
      </c>
      <c r="O9" s="120" t="s">
        <v>45</v>
      </c>
      <c r="P9" s="114">
        <v>629409.0</v>
      </c>
      <c r="Q9" s="114">
        <f t="shared" si="3"/>
        <v>6</v>
      </c>
      <c r="R9" s="129"/>
      <c r="S9" s="123">
        <v>45382.0</v>
      </c>
      <c r="T9" s="59"/>
      <c r="U9" s="124">
        <f t="shared" si="1"/>
        <v>51.70136986</v>
      </c>
      <c r="V9" s="125">
        <f t="shared" si="2"/>
        <v>53.99178082</v>
      </c>
      <c r="W9" s="108"/>
      <c r="X9" s="112"/>
      <c r="Y9" s="59"/>
      <c r="Z9" s="59"/>
    </row>
    <row r="10" ht="33.75" customHeight="1">
      <c r="A10" s="113" t="s">
        <v>37</v>
      </c>
      <c r="B10" s="114" t="s">
        <v>47</v>
      </c>
      <c r="C10" s="115" t="s">
        <v>39</v>
      </c>
      <c r="D10" s="33" t="s">
        <v>40</v>
      </c>
      <c r="E10" s="115" t="s">
        <v>30</v>
      </c>
      <c r="F10" s="115" t="s">
        <v>29</v>
      </c>
      <c r="G10" s="115" t="s">
        <v>30</v>
      </c>
      <c r="H10" s="33" t="s">
        <v>48</v>
      </c>
      <c r="I10" s="126">
        <v>0.0</v>
      </c>
      <c r="J10" s="33" t="s">
        <v>42</v>
      </c>
      <c r="K10" s="128">
        <v>27595.0</v>
      </c>
      <c r="L10" s="119" t="s">
        <v>49</v>
      </c>
      <c r="M10" s="120" t="s">
        <v>50</v>
      </c>
      <c r="N10" s="170" t="s">
        <v>35</v>
      </c>
      <c r="O10" s="120" t="s">
        <v>51</v>
      </c>
      <c r="P10" s="114">
        <v>691771.0</v>
      </c>
      <c r="Q10" s="114">
        <f t="shared" si="3"/>
        <v>7</v>
      </c>
      <c r="R10" s="129"/>
      <c r="S10" s="123">
        <v>45382.0</v>
      </c>
      <c r="T10" s="59"/>
      <c r="U10" s="124">
        <f t="shared" si="1"/>
        <v>48.73150685</v>
      </c>
      <c r="V10" s="125">
        <f t="shared" si="2"/>
        <v>51.02191781</v>
      </c>
      <c r="W10" s="108"/>
      <c r="X10" s="112"/>
      <c r="Y10" s="59"/>
      <c r="Z10" s="59"/>
    </row>
    <row r="11" ht="33.75" customHeight="1">
      <c r="A11" s="113" t="s">
        <v>25</v>
      </c>
      <c r="B11" s="114" t="s">
        <v>53</v>
      </c>
      <c r="C11" s="33" t="s">
        <v>140</v>
      </c>
      <c r="D11" s="33" t="s">
        <v>40</v>
      </c>
      <c r="E11" s="115" t="s">
        <v>30</v>
      </c>
      <c r="F11" s="115" t="s">
        <v>29</v>
      </c>
      <c r="G11" s="115" t="s">
        <v>30</v>
      </c>
      <c r="H11" s="33" t="s">
        <v>48</v>
      </c>
      <c r="I11" s="116" t="s">
        <v>141</v>
      </c>
      <c r="J11" s="33" t="s">
        <v>42</v>
      </c>
      <c r="K11" s="128">
        <v>21596.0</v>
      </c>
      <c r="L11" s="119" t="s">
        <v>142</v>
      </c>
      <c r="M11" s="120" t="s">
        <v>143</v>
      </c>
      <c r="N11" s="33" t="s">
        <v>56</v>
      </c>
      <c r="O11" s="120" t="s">
        <v>204</v>
      </c>
      <c r="P11" s="114">
        <v>600898.0</v>
      </c>
      <c r="Q11" s="114">
        <f t="shared" si="3"/>
        <v>8</v>
      </c>
      <c r="R11" s="122"/>
      <c r="S11" s="123">
        <v>45382.0</v>
      </c>
      <c r="T11" s="59"/>
      <c r="U11" s="124">
        <f t="shared" si="1"/>
        <v>65.16712329</v>
      </c>
      <c r="V11" s="125">
        <f t="shared" si="2"/>
        <v>67.45753425</v>
      </c>
      <c r="W11" s="112"/>
      <c r="X11" s="112"/>
      <c r="Y11" s="59"/>
      <c r="Z11" s="59"/>
    </row>
    <row r="12" ht="33.75" customHeight="1">
      <c r="A12" s="113" t="s">
        <v>25</v>
      </c>
      <c r="B12" s="114" t="s">
        <v>53</v>
      </c>
      <c r="C12" s="127" t="s">
        <v>54</v>
      </c>
      <c r="D12" s="115" t="s">
        <v>29</v>
      </c>
      <c r="E12" s="115" t="s">
        <v>30</v>
      </c>
      <c r="F12" s="115" t="s">
        <v>29</v>
      </c>
      <c r="G12" s="115" t="s">
        <v>30</v>
      </c>
      <c r="H12" s="33" t="s">
        <v>31</v>
      </c>
      <c r="I12" s="130"/>
      <c r="J12" s="33" t="s">
        <v>42</v>
      </c>
      <c r="K12" s="128">
        <v>12965.0</v>
      </c>
      <c r="L12" s="119" t="s">
        <v>146</v>
      </c>
      <c r="M12" s="120" t="s">
        <v>147</v>
      </c>
      <c r="N12" s="171" t="s">
        <v>56</v>
      </c>
      <c r="O12" s="120" t="s">
        <v>148</v>
      </c>
      <c r="P12" s="114">
        <v>626871.0</v>
      </c>
      <c r="Q12" s="114">
        <f t="shared" si="3"/>
        <v>9</v>
      </c>
      <c r="R12" s="129"/>
      <c r="S12" s="123">
        <v>45382.0</v>
      </c>
      <c r="T12" s="59"/>
      <c r="U12" s="124">
        <f t="shared" si="1"/>
        <v>88.81369863</v>
      </c>
      <c r="V12" s="125">
        <f t="shared" si="2"/>
        <v>91.10410959</v>
      </c>
      <c r="W12" s="112"/>
      <c r="X12" s="112"/>
      <c r="Y12" s="59"/>
      <c r="Z12" s="59"/>
    </row>
    <row r="13" ht="33.75" customHeight="1">
      <c r="A13" s="113" t="s">
        <v>25</v>
      </c>
      <c r="B13" s="114" t="s">
        <v>53</v>
      </c>
      <c r="C13" s="127" t="s">
        <v>54</v>
      </c>
      <c r="D13" s="33" t="s">
        <v>40</v>
      </c>
      <c r="E13" s="115" t="s">
        <v>30</v>
      </c>
      <c r="F13" s="115" t="s">
        <v>29</v>
      </c>
      <c r="G13" s="115" t="s">
        <v>30</v>
      </c>
      <c r="H13" s="33" t="s">
        <v>41</v>
      </c>
      <c r="I13" s="130"/>
      <c r="J13" s="33" t="s">
        <v>42</v>
      </c>
      <c r="K13" s="128">
        <v>17434.0</v>
      </c>
      <c r="L13" s="131"/>
      <c r="M13" s="120" t="s">
        <v>55</v>
      </c>
      <c r="N13" s="171" t="s">
        <v>56</v>
      </c>
      <c r="O13" s="120" t="s">
        <v>50</v>
      </c>
      <c r="P13" s="117">
        <v>600790.0</v>
      </c>
      <c r="Q13" s="114">
        <f t="shared" si="3"/>
        <v>10</v>
      </c>
      <c r="R13" s="129"/>
      <c r="S13" s="123">
        <v>45382.0</v>
      </c>
      <c r="T13" s="59"/>
      <c r="U13" s="124">
        <f t="shared" si="1"/>
        <v>76.56986301</v>
      </c>
      <c r="V13" s="125">
        <f t="shared" si="2"/>
        <v>78.86027397</v>
      </c>
      <c r="W13" s="112"/>
      <c r="X13" s="112"/>
      <c r="Y13" s="59"/>
      <c r="Z13" s="59"/>
    </row>
    <row r="14" ht="33.75" customHeight="1">
      <c r="A14" s="113" t="s">
        <v>25</v>
      </c>
      <c r="B14" s="114" t="s">
        <v>53</v>
      </c>
      <c r="C14" s="115" t="s">
        <v>39</v>
      </c>
      <c r="D14" s="33" t="s">
        <v>40</v>
      </c>
      <c r="E14" s="115" t="s">
        <v>30</v>
      </c>
      <c r="F14" s="115" t="s">
        <v>29</v>
      </c>
      <c r="G14" s="115" t="s">
        <v>30</v>
      </c>
      <c r="H14" s="33" t="s">
        <v>41</v>
      </c>
      <c r="I14" s="132" t="s">
        <v>150</v>
      </c>
      <c r="J14" s="33" t="s">
        <v>42</v>
      </c>
      <c r="K14" s="118">
        <v>26988.0</v>
      </c>
      <c r="L14" s="119" t="s">
        <v>151</v>
      </c>
      <c r="M14" s="120" t="s">
        <v>148</v>
      </c>
      <c r="N14" s="33" t="s">
        <v>35</v>
      </c>
      <c r="O14" s="120" t="s">
        <v>152</v>
      </c>
      <c r="P14" s="114">
        <v>629430.0</v>
      </c>
      <c r="Q14" s="114">
        <f t="shared" si="3"/>
        <v>11</v>
      </c>
      <c r="R14" s="122"/>
      <c r="S14" s="123">
        <v>45382.0</v>
      </c>
      <c r="T14" s="59"/>
      <c r="U14" s="124">
        <f t="shared" si="1"/>
        <v>50.39452055</v>
      </c>
      <c r="V14" s="125">
        <f t="shared" si="2"/>
        <v>52.68493151</v>
      </c>
      <c r="W14" s="108"/>
      <c r="X14" s="112"/>
      <c r="Y14" s="59"/>
      <c r="Z14" s="59"/>
    </row>
    <row r="15" ht="33.75" customHeight="1">
      <c r="A15" s="113" t="s">
        <v>25</v>
      </c>
      <c r="B15" s="133"/>
      <c r="C15" s="134" t="s">
        <v>76</v>
      </c>
      <c r="D15" s="33" t="s">
        <v>40</v>
      </c>
      <c r="E15" s="115" t="s">
        <v>30</v>
      </c>
      <c r="F15" s="115" t="s">
        <v>29</v>
      </c>
      <c r="G15" s="115" t="s">
        <v>30</v>
      </c>
      <c r="H15" s="33" t="s">
        <v>154</v>
      </c>
      <c r="I15" s="135" t="s">
        <v>155</v>
      </c>
      <c r="J15" s="33" t="s">
        <v>42</v>
      </c>
      <c r="K15" s="118">
        <v>29319.0</v>
      </c>
      <c r="L15" s="119" t="s">
        <v>156</v>
      </c>
      <c r="M15" s="120" t="s">
        <v>157</v>
      </c>
      <c r="N15" s="33" t="s">
        <v>35</v>
      </c>
      <c r="O15" s="120" t="s">
        <v>158</v>
      </c>
      <c r="P15" s="114">
        <v>73236.0</v>
      </c>
      <c r="Q15" s="114">
        <f t="shared" si="3"/>
        <v>12</v>
      </c>
      <c r="R15" s="122"/>
      <c r="S15" s="123">
        <v>45382.0</v>
      </c>
      <c r="T15" s="59"/>
      <c r="U15" s="124">
        <f t="shared" si="1"/>
        <v>44.00821918</v>
      </c>
      <c r="V15" s="125">
        <f t="shared" si="2"/>
        <v>46.29863014</v>
      </c>
      <c r="W15" s="108"/>
      <c r="X15" s="112"/>
      <c r="Y15" s="59"/>
      <c r="Z15" s="59"/>
    </row>
    <row r="16" ht="33.75" customHeight="1">
      <c r="A16" s="113" t="s">
        <v>25</v>
      </c>
      <c r="B16" s="114" t="s">
        <v>53</v>
      </c>
      <c r="C16" s="127" t="s">
        <v>54</v>
      </c>
      <c r="D16" s="33" t="s">
        <v>40</v>
      </c>
      <c r="E16" s="115" t="s">
        <v>30</v>
      </c>
      <c r="F16" s="115" t="s">
        <v>29</v>
      </c>
      <c r="G16" s="115" t="s">
        <v>30</v>
      </c>
      <c r="H16" s="33" t="s">
        <v>48</v>
      </c>
      <c r="I16" s="130"/>
      <c r="J16" s="33" t="s">
        <v>42</v>
      </c>
      <c r="K16" s="128">
        <v>23484.0</v>
      </c>
      <c r="L16" s="119" t="s">
        <v>205</v>
      </c>
      <c r="M16" s="120" t="s">
        <v>206</v>
      </c>
      <c r="N16" s="171" t="s">
        <v>56</v>
      </c>
      <c r="O16" s="120" t="s">
        <v>207</v>
      </c>
      <c r="P16" s="114">
        <v>629439.0</v>
      </c>
      <c r="Q16" s="114">
        <f t="shared" si="3"/>
        <v>13</v>
      </c>
      <c r="R16" s="129"/>
      <c r="S16" s="123">
        <v>45382.0</v>
      </c>
      <c r="T16" s="59"/>
      <c r="U16" s="124">
        <f t="shared" si="1"/>
        <v>59.99452055</v>
      </c>
      <c r="V16" s="125">
        <f t="shared" si="2"/>
        <v>62.28493151</v>
      </c>
      <c r="W16" s="112"/>
      <c r="X16" s="112"/>
      <c r="Y16" s="59"/>
      <c r="Z16" s="59"/>
    </row>
    <row r="17" ht="33.75" customHeight="1">
      <c r="A17" s="113" t="s">
        <v>25</v>
      </c>
      <c r="B17" s="114" t="s">
        <v>75</v>
      </c>
      <c r="C17" s="115" t="s">
        <v>39</v>
      </c>
      <c r="D17" s="33" t="s">
        <v>40</v>
      </c>
      <c r="E17" s="115" t="s">
        <v>30</v>
      </c>
      <c r="F17" s="115" t="s">
        <v>29</v>
      </c>
      <c r="G17" s="115" t="s">
        <v>30</v>
      </c>
      <c r="H17" s="33" t="s">
        <v>41</v>
      </c>
      <c r="I17" s="130"/>
      <c r="J17" s="33" t="s">
        <v>42</v>
      </c>
      <c r="K17" s="118">
        <v>29895.0</v>
      </c>
      <c r="L17" s="119" t="s">
        <v>160</v>
      </c>
      <c r="M17" s="120" t="s">
        <v>161</v>
      </c>
      <c r="N17" s="170" t="s">
        <v>35</v>
      </c>
      <c r="O17" s="120" t="s">
        <v>162</v>
      </c>
      <c r="P17" s="114">
        <v>698781.0</v>
      </c>
      <c r="Q17" s="114">
        <f t="shared" si="3"/>
        <v>14</v>
      </c>
      <c r="R17" s="129"/>
      <c r="S17" s="123">
        <v>45382.0</v>
      </c>
      <c r="T17" s="59"/>
      <c r="U17" s="124">
        <f t="shared" si="1"/>
        <v>42.43013699</v>
      </c>
      <c r="V17" s="125">
        <f t="shared" si="2"/>
        <v>44.72054795</v>
      </c>
      <c r="W17" s="108"/>
      <c r="X17" s="112"/>
      <c r="Y17" s="59"/>
      <c r="Z17" s="59"/>
    </row>
    <row r="18" ht="33.75" customHeight="1">
      <c r="A18" s="113" t="s">
        <v>25</v>
      </c>
      <c r="B18" s="114" t="s">
        <v>27</v>
      </c>
      <c r="C18" s="127" t="s">
        <v>54</v>
      </c>
      <c r="D18" s="33" t="s">
        <v>40</v>
      </c>
      <c r="E18" s="115" t="s">
        <v>30</v>
      </c>
      <c r="F18" s="115" t="s">
        <v>29</v>
      </c>
      <c r="G18" s="115" t="s">
        <v>30</v>
      </c>
      <c r="H18" s="33" t="s">
        <v>48</v>
      </c>
      <c r="I18" s="116" t="s">
        <v>164</v>
      </c>
      <c r="J18" s="33" t="s">
        <v>42</v>
      </c>
      <c r="K18" s="118">
        <v>21551.0</v>
      </c>
      <c r="L18" s="119" t="s">
        <v>165</v>
      </c>
      <c r="M18" s="120" t="s">
        <v>80</v>
      </c>
      <c r="N18" s="33" t="s">
        <v>56</v>
      </c>
      <c r="O18" s="120" t="s">
        <v>166</v>
      </c>
      <c r="P18" s="114">
        <v>697260.0</v>
      </c>
      <c r="Q18" s="114">
        <f t="shared" si="3"/>
        <v>15</v>
      </c>
      <c r="R18" s="122"/>
      <c r="S18" s="123">
        <v>45382.0</v>
      </c>
      <c r="T18" s="59"/>
      <c r="U18" s="124">
        <f t="shared" si="1"/>
        <v>65.29041096</v>
      </c>
      <c r="V18" s="125">
        <f t="shared" si="2"/>
        <v>67.58082192</v>
      </c>
      <c r="W18" s="112"/>
      <c r="X18" s="112"/>
      <c r="Y18" s="59"/>
      <c r="Z18" s="59"/>
    </row>
    <row r="19" ht="33.75" customHeight="1">
      <c r="A19" s="113" t="s">
        <v>25</v>
      </c>
      <c r="B19" s="114" t="s">
        <v>27</v>
      </c>
      <c r="C19" s="127" t="s">
        <v>54</v>
      </c>
      <c r="D19" s="33" t="s">
        <v>40</v>
      </c>
      <c r="E19" s="115" t="s">
        <v>30</v>
      </c>
      <c r="F19" s="115" t="s">
        <v>29</v>
      </c>
      <c r="G19" s="115" t="s">
        <v>30</v>
      </c>
      <c r="H19" s="136" t="s">
        <v>58</v>
      </c>
      <c r="I19" s="130"/>
      <c r="J19" s="33" t="s">
        <v>42</v>
      </c>
      <c r="K19" s="128">
        <v>20261.0</v>
      </c>
      <c r="L19" s="119" t="s">
        <v>59</v>
      </c>
      <c r="M19" s="120" t="s">
        <v>60</v>
      </c>
      <c r="N19" s="171" t="s">
        <v>56</v>
      </c>
      <c r="O19" s="120" t="s">
        <v>61</v>
      </c>
      <c r="P19" s="114">
        <v>696347.0</v>
      </c>
      <c r="Q19" s="114">
        <f t="shared" si="3"/>
        <v>16</v>
      </c>
      <c r="R19" s="129"/>
      <c r="S19" s="123">
        <v>45382.0</v>
      </c>
      <c r="T19" s="59"/>
      <c r="U19" s="124">
        <f t="shared" si="1"/>
        <v>68.82465753</v>
      </c>
      <c r="V19" s="125">
        <f t="shared" si="2"/>
        <v>71.11506849</v>
      </c>
      <c r="W19" s="112"/>
      <c r="X19" s="112"/>
      <c r="Y19" s="59"/>
      <c r="Z19" s="59"/>
    </row>
    <row r="20" ht="33.75" customHeight="1">
      <c r="A20" s="113" t="s">
        <v>25</v>
      </c>
      <c r="B20" s="117" t="s">
        <v>168</v>
      </c>
      <c r="C20" s="115" t="s">
        <v>39</v>
      </c>
      <c r="D20" s="33" t="s">
        <v>40</v>
      </c>
      <c r="E20" s="115" t="s">
        <v>30</v>
      </c>
      <c r="F20" s="115" t="s">
        <v>29</v>
      </c>
      <c r="G20" s="115" t="s">
        <v>30</v>
      </c>
      <c r="H20" s="33" t="s">
        <v>41</v>
      </c>
      <c r="I20" s="130"/>
      <c r="J20" s="33" t="s">
        <v>42</v>
      </c>
      <c r="K20" s="128">
        <v>27784.0</v>
      </c>
      <c r="L20" s="119" t="s">
        <v>169</v>
      </c>
      <c r="M20" s="120" t="s">
        <v>170</v>
      </c>
      <c r="N20" s="170" t="s">
        <v>35</v>
      </c>
      <c r="O20" s="120" t="s">
        <v>171</v>
      </c>
      <c r="P20" s="114">
        <v>697262.0</v>
      </c>
      <c r="Q20" s="114">
        <f t="shared" si="3"/>
        <v>17</v>
      </c>
      <c r="R20" s="129"/>
      <c r="S20" s="123">
        <v>45382.0</v>
      </c>
      <c r="T20" s="59"/>
      <c r="U20" s="124">
        <f t="shared" si="1"/>
        <v>48.21369863</v>
      </c>
      <c r="V20" s="125">
        <f t="shared" si="2"/>
        <v>50.50410959</v>
      </c>
      <c r="W20" s="108"/>
      <c r="X20" s="112"/>
      <c r="Y20" s="59"/>
      <c r="Z20" s="59"/>
    </row>
    <row r="21" ht="33.75" customHeight="1">
      <c r="A21" s="113" t="s">
        <v>25</v>
      </c>
      <c r="B21" s="114" t="s">
        <v>53</v>
      </c>
      <c r="C21" s="127" t="s">
        <v>54</v>
      </c>
      <c r="D21" s="33" t="s">
        <v>40</v>
      </c>
      <c r="E21" s="115" t="s">
        <v>30</v>
      </c>
      <c r="F21" s="115" t="s">
        <v>29</v>
      </c>
      <c r="G21" s="115" t="s">
        <v>30</v>
      </c>
      <c r="H21" s="33" t="s">
        <v>63</v>
      </c>
      <c r="I21" s="116" t="s">
        <v>64</v>
      </c>
      <c r="J21" s="33" t="s">
        <v>42</v>
      </c>
      <c r="K21" s="128">
        <v>19786.0</v>
      </c>
      <c r="L21" s="119" t="s">
        <v>65</v>
      </c>
      <c r="M21" s="120" t="s">
        <v>66</v>
      </c>
      <c r="N21" s="33" t="s">
        <v>56</v>
      </c>
      <c r="O21" s="120" t="s">
        <v>67</v>
      </c>
      <c r="P21" s="114">
        <v>633185.0</v>
      </c>
      <c r="Q21" s="114">
        <f t="shared" si="3"/>
        <v>18</v>
      </c>
      <c r="R21" s="122"/>
      <c r="S21" s="123">
        <v>45382.0</v>
      </c>
      <c r="T21" s="59"/>
      <c r="U21" s="124">
        <f t="shared" si="1"/>
        <v>70.1260274</v>
      </c>
      <c r="V21" s="125">
        <f t="shared" si="2"/>
        <v>72.41643836</v>
      </c>
      <c r="W21" s="112"/>
      <c r="X21" s="112"/>
      <c r="Y21" s="59"/>
      <c r="Z21" s="59"/>
    </row>
    <row r="22" ht="33.75" customHeight="1">
      <c r="A22" s="113" t="s">
        <v>25</v>
      </c>
      <c r="B22" s="114" t="s">
        <v>69</v>
      </c>
      <c r="C22" s="115" t="s">
        <v>39</v>
      </c>
      <c r="D22" s="33" t="s">
        <v>40</v>
      </c>
      <c r="E22" s="115" t="s">
        <v>30</v>
      </c>
      <c r="F22" s="115" t="s">
        <v>29</v>
      </c>
      <c r="G22" s="115" t="s">
        <v>30</v>
      </c>
      <c r="H22" s="33" t="s">
        <v>48</v>
      </c>
      <c r="I22" s="130"/>
      <c r="J22" s="33" t="s">
        <v>42</v>
      </c>
      <c r="K22" s="128">
        <v>23531.0</v>
      </c>
      <c r="L22" s="119" t="s">
        <v>71</v>
      </c>
      <c r="M22" s="120" t="s">
        <v>72</v>
      </c>
      <c r="N22" s="33" t="s">
        <v>56</v>
      </c>
      <c r="O22" s="120" t="s">
        <v>73</v>
      </c>
      <c r="P22" s="114">
        <v>626887.0</v>
      </c>
      <c r="Q22" s="114">
        <f t="shared" si="3"/>
        <v>19</v>
      </c>
      <c r="R22" s="122"/>
      <c r="S22" s="123">
        <v>45382.0</v>
      </c>
      <c r="T22" s="59"/>
      <c r="U22" s="124">
        <f t="shared" si="1"/>
        <v>59.86575342</v>
      </c>
      <c r="V22" s="125">
        <f t="shared" si="2"/>
        <v>62.15616438</v>
      </c>
      <c r="W22" s="112"/>
      <c r="X22" s="112"/>
      <c r="Y22" s="59"/>
      <c r="Z22" s="59"/>
    </row>
    <row r="23" ht="33.75" customHeight="1">
      <c r="A23" s="113" t="s">
        <v>25</v>
      </c>
      <c r="B23" s="114" t="s">
        <v>27</v>
      </c>
      <c r="C23" s="127" t="s">
        <v>54</v>
      </c>
      <c r="D23" s="33" t="s">
        <v>40</v>
      </c>
      <c r="E23" s="115" t="s">
        <v>30</v>
      </c>
      <c r="F23" s="115" t="s">
        <v>29</v>
      </c>
      <c r="G23" s="115" t="s">
        <v>30</v>
      </c>
      <c r="H23" s="33" t="s">
        <v>48</v>
      </c>
      <c r="I23" s="130"/>
      <c r="J23" s="33" t="s">
        <v>42</v>
      </c>
      <c r="K23" s="118">
        <v>19299.0</v>
      </c>
      <c r="L23" s="119" t="s">
        <v>173</v>
      </c>
      <c r="M23" s="120" t="s">
        <v>174</v>
      </c>
      <c r="N23" s="171" t="s">
        <v>56</v>
      </c>
      <c r="O23" s="120" t="s">
        <v>175</v>
      </c>
      <c r="P23" s="114">
        <v>629414.0</v>
      </c>
      <c r="Q23" s="114">
        <f t="shared" si="3"/>
        <v>20</v>
      </c>
      <c r="R23" s="129"/>
      <c r="S23" s="123">
        <v>45382.0</v>
      </c>
      <c r="T23" s="59"/>
      <c r="U23" s="124">
        <f t="shared" si="1"/>
        <v>71.46027397</v>
      </c>
      <c r="V23" s="125">
        <f t="shared" si="2"/>
        <v>73.75068493</v>
      </c>
      <c r="W23" s="112"/>
      <c r="X23" s="112"/>
      <c r="Y23" s="59"/>
      <c r="Z23" s="59"/>
    </row>
    <row r="24" ht="33.75" customHeight="1">
      <c r="A24" s="113" t="s">
        <v>25</v>
      </c>
      <c r="B24" s="114" t="s">
        <v>47</v>
      </c>
      <c r="C24" s="115" t="s">
        <v>39</v>
      </c>
      <c r="D24" s="115" t="s">
        <v>29</v>
      </c>
      <c r="E24" s="115" t="s">
        <v>30</v>
      </c>
      <c r="F24" s="115" t="s">
        <v>29</v>
      </c>
      <c r="G24" s="115" t="s">
        <v>30</v>
      </c>
      <c r="H24" s="33" t="s">
        <v>63</v>
      </c>
      <c r="I24" s="135" t="s">
        <v>177</v>
      </c>
      <c r="J24" s="33" t="s">
        <v>42</v>
      </c>
      <c r="K24" s="128">
        <v>22526.0</v>
      </c>
      <c r="L24" s="137" t="s">
        <v>178</v>
      </c>
      <c r="M24" s="120" t="s">
        <v>179</v>
      </c>
      <c r="N24" s="33" t="s">
        <v>56</v>
      </c>
      <c r="O24" s="120" t="s">
        <v>180</v>
      </c>
      <c r="P24" s="114">
        <v>626872.0</v>
      </c>
      <c r="Q24" s="114">
        <f t="shared" si="3"/>
        <v>21</v>
      </c>
      <c r="R24" s="122"/>
      <c r="S24" s="123">
        <v>45382.0</v>
      </c>
      <c r="T24" s="59"/>
      <c r="U24" s="124">
        <f t="shared" si="1"/>
        <v>62.61917808</v>
      </c>
      <c r="V24" s="125">
        <f t="shared" si="2"/>
        <v>64.90958904</v>
      </c>
      <c r="W24" s="112"/>
      <c r="X24" s="112"/>
      <c r="Y24" s="59"/>
      <c r="Z24" s="59"/>
    </row>
    <row r="25" ht="33.75" customHeight="1">
      <c r="A25" s="138" t="s">
        <v>25</v>
      </c>
      <c r="B25" s="114" t="s">
        <v>27</v>
      </c>
      <c r="C25" s="127" t="s">
        <v>54</v>
      </c>
      <c r="D25" s="42" t="s">
        <v>40</v>
      </c>
      <c r="E25" s="115" t="s">
        <v>30</v>
      </c>
      <c r="F25" s="115" t="s">
        <v>29</v>
      </c>
      <c r="G25" s="115" t="s">
        <v>30</v>
      </c>
      <c r="H25" s="42" t="s">
        <v>48</v>
      </c>
      <c r="I25" s="139"/>
      <c r="J25" s="42" t="s">
        <v>42</v>
      </c>
      <c r="K25" s="140">
        <v>27546.0</v>
      </c>
      <c r="L25" s="137" t="s">
        <v>181</v>
      </c>
      <c r="M25" s="141" t="s">
        <v>182</v>
      </c>
      <c r="N25" s="172" t="s">
        <v>35</v>
      </c>
      <c r="O25" s="142" t="s">
        <v>183</v>
      </c>
      <c r="P25" s="138">
        <v>696346.0</v>
      </c>
      <c r="Q25" s="138">
        <f t="shared" si="3"/>
        <v>22</v>
      </c>
      <c r="R25" s="129"/>
      <c r="S25" s="123">
        <v>45382.0</v>
      </c>
      <c r="T25" s="59"/>
      <c r="U25" s="124">
        <f t="shared" si="1"/>
        <v>48.86575342</v>
      </c>
      <c r="V25" s="125">
        <f t="shared" si="2"/>
        <v>51.15616438</v>
      </c>
      <c r="W25" s="108"/>
      <c r="X25" s="112"/>
      <c r="Y25" s="59"/>
      <c r="Z25" s="59"/>
    </row>
    <row r="26" ht="33.75" customHeight="1">
      <c r="A26" s="138" t="s">
        <v>25</v>
      </c>
      <c r="B26" s="143" t="s">
        <v>75</v>
      </c>
      <c r="C26" s="134" t="s">
        <v>76</v>
      </c>
      <c r="D26" s="42" t="s">
        <v>40</v>
      </c>
      <c r="E26" s="115" t="s">
        <v>30</v>
      </c>
      <c r="F26" s="115" t="s">
        <v>29</v>
      </c>
      <c r="G26" s="115" t="s">
        <v>30</v>
      </c>
      <c r="H26" s="42" t="s">
        <v>41</v>
      </c>
      <c r="I26" s="135" t="s">
        <v>77</v>
      </c>
      <c r="J26" s="42" t="s">
        <v>42</v>
      </c>
      <c r="K26" s="144">
        <v>30189.0</v>
      </c>
      <c r="L26" s="137" t="s">
        <v>78</v>
      </c>
      <c r="M26" s="141" t="s">
        <v>79</v>
      </c>
      <c r="N26" s="42" t="s">
        <v>35</v>
      </c>
      <c r="O26" s="142" t="s">
        <v>80</v>
      </c>
      <c r="P26" s="121">
        <v>699653.0</v>
      </c>
      <c r="Q26" s="138">
        <f t="shared" si="3"/>
        <v>23</v>
      </c>
      <c r="R26" s="122"/>
      <c r="S26" s="123">
        <v>45382.0</v>
      </c>
      <c r="T26" s="59"/>
      <c r="U26" s="124">
        <f t="shared" si="1"/>
        <v>41.62465753</v>
      </c>
      <c r="V26" s="125">
        <f t="shared" si="2"/>
        <v>43.91506849</v>
      </c>
      <c r="W26" s="108"/>
      <c r="X26" s="112"/>
      <c r="Y26" s="59"/>
      <c r="Z26" s="59"/>
    </row>
    <row r="27" ht="33.75" customHeight="1">
      <c r="A27" s="138" t="s">
        <v>25</v>
      </c>
      <c r="B27" s="114" t="s">
        <v>27</v>
      </c>
      <c r="C27" s="115" t="s">
        <v>39</v>
      </c>
      <c r="D27" s="42" t="s">
        <v>40</v>
      </c>
      <c r="E27" s="115" t="s">
        <v>30</v>
      </c>
      <c r="F27" s="115" t="s">
        <v>29</v>
      </c>
      <c r="G27" s="115" t="s">
        <v>30</v>
      </c>
      <c r="H27" s="42" t="s">
        <v>41</v>
      </c>
      <c r="I27" s="139"/>
      <c r="J27" s="42" t="s">
        <v>42</v>
      </c>
      <c r="K27" s="140">
        <v>26665.0</v>
      </c>
      <c r="L27" s="145" t="s">
        <v>82</v>
      </c>
      <c r="M27" s="146" t="s">
        <v>83</v>
      </c>
      <c r="N27" s="172" t="s">
        <v>35</v>
      </c>
      <c r="O27" s="142" t="s">
        <v>84</v>
      </c>
      <c r="P27" s="143">
        <v>632609.0</v>
      </c>
      <c r="Q27" s="138">
        <f t="shared" si="3"/>
        <v>24</v>
      </c>
      <c r="R27" s="129"/>
      <c r="S27" s="123">
        <v>45382.0</v>
      </c>
      <c r="T27" s="59"/>
      <c r="U27" s="124">
        <f t="shared" si="1"/>
        <v>51.27945205</v>
      </c>
      <c r="V27" s="125">
        <f t="shared" si="2"/>
        <v>53.56986301</v>
      </c>
      <c r="W27" s="108"/>
      <c r="X27" s="112"/>
      <c r="Y27" s="59"/>
      <c r="Z27" s="59"/>
    </row>
    <row r="28" ht="33.75" customHeight="1">
      <c r="A28" s="138" t="s">
        <v>25</v>
      </c>
      <c r="B28" s="114" t="s">
        <v>27</v>
      </c>
      <c r="C28" s="115" t="s">
        <v>39</v>
      </c>
      <c r="D28" s="42" t="s">
        <v>40</v>
      </c>
      <c r="E28" s="115" t="s">
        <v>30</v>
      </c>
      <c r="F28" s="115" t="s">
        <v>29</v>
      </c>
      <c r="G28" s="115" t="s">
        <v>30</v>
      </c>
      <c r="H28" s="42" t="s">
        <v>41</v>
      </c>
      <c r="I28" s="135" t="s">
        <v>185</v>
      </c>
      <c r="J28" s="42" t="s">
        <v>42</v>
      </c>
      <c r="K28" s="140">
        <v>26511.0</v>
      </c>
      <c r="L28" s="147" t="s">
        <v>186</v>
      </c>
      <c r="M28" s="148" t="s">
        <v>187</v>
      </c>
      <c r="N28" s="42" t="s">
        <v>35</v>
      </c>
      <c r="O28" s="142" t="s">
        <v>188</v>
      </c>
      <c r="P28" s="121">
        <v>626847.0</v>
      </c>
      <c r="Q28" s="138">
        <f t="shared" si="3"/>
        <v>25</v>
      </c>
      <c r="R28" s="122"/>
      <c r="S28" s="123">
        <v>45382.0</v>
      </c>
      <c r="T28" s="59"/>
      <c r="U28" s="124">
        <f t="shared" si="1"/>
        <v>51.70136986</v>
      </c>
      <c r="V28" s="125">
        <f t="shared" si="2"/>
        <v>53.99178082</v>
      </c>
      <c r="W28" s="108"/>
      <c r="X28" s="112"/>
      <c r="Y28" s="59"/>
      <c r="Z28" s="59"/>
    </row>
    <row r="29" ht="33.75" customHeight="1">
      <c r="A29" s="138" t="s">
        <v>25</v>
      </c>
      <c r="B29" s="121" t="s">
        <v>53</v>
      </c>
      <c r="C29" s="134" t="s">
        <v>76</v>
      </c>
      <c r="D29" s="42" t="s">
        <v>40</v>
      </c>
      <c r="E29" s="115" t="s">
        <v>30</v>
      </c>
      <c r="F29" s="115" t="s">
        <v>29</v>
      </c>
      <c r="G29" s="115" t="s">
        <v>30</v>
      </c>
      <c r="H29" s="42" t="s">
        <v>31</v>
      </c>
      <c r="I29" s="135" t="s">
        <v>86</v>
      </c>
      <c r="J29" s="42" t="s">
        <v>42</v>
      </c>
      <c r="K29" s="140">
        <v>29543.0</v>
      </c>
      <c r="L29" s="137" t="s">
        <v>87</v>
      </c>
      <c r="M29" s="141" t="s">
        <v>88</v>
      </c>
      <c r="N29" s="42" t="s">
        <v>35</v>
      </c>
      <c r="O29" s="149" t="s">
        <v>89</v>
      </c>
      <c r="P29" s="121">
        <v>76290.0</v>
      </c>
      <c r="Q29" s="138">
        <f t="shared" si="3"/>
        <v>26</v>
      </c>
      <c r="R29" s="122"/>
      <c r="S29" s="123">
        <v>45382.0</v>
      </c>
      <c r="T29" s="59"/>
      <c r="U29" s="124">
        <f t="shared" si="1"/>
        <v>43.39452055</v>
      </c>
      <c r="V29" s="125">
        <f t="shared" si="2"/>
        <v>45.68493151</v>
      </c>
      <c r="W29" s="112"/>
      <c r="X29" s="112"/>
      <c r="Y29" s="59"/>
      <c r="Z29" s="59"/>
    </row>
    <row r="30" ht="33.75" customHeight="1">
      <c r="A30" s="138" t="s">
        <v>25</v>
      </c>
      <c r="B30" s="121" t="s">
        <v>27</v>
      </c>
      <c r="C30" s="134" t="s">
        <v>76</v>
      </c>
      <c r="D30" s="42" t="s">
        <v>40</v>
      </c>
      <c r="E30" s="115" t="s">
        <v>30</v>
      </c>
      <c r="F30" s="115" t="s">
        <v>29</v>
      </c>
      <c r="G30" s="115" t="s">
        <v>30</v>
      </c>
      <c r="H30" s="33" t="s">
        <v>48</v>
      </c>
      <c r="I30" s="139"/>
      <c r="J30" s="42" t="s">
        <v>42</v>
      </c>
      <c r="K30" s="140">
        <v>25571.0</v>
      </c>
      <c r="L30" s="147" t="s">
        <v>190</v>
      </c>
      <c r="M30" s="148" t="s">
        <v>191</v>
      </c>
      <c r="N30" s="172" t="s">
        <v>35</v>
      </c>
      <c r="O30" s="149" t="s">
        <v>192</v>
      </c>
      <c r="P30" s="121">
        <v>700623.0</v>
      </c>
      <c r="Q30" s="138">
        <f t="shared" si="3"/>
        <v>27</v>
      </c>
      <c r="R30" s="129"/>
      <c r="S30" s="123">
        <v>45382.0</v>
      </c>
      <c r="T30" s="59"/>
      <c r="U30" s="124">
        <f t="shared" si="1"/>
        <v>54.27671233</v>
      </c>
      <c r="V30" s="125">
        <f t="shared" si="2"/>
        <v>56.56712329</v>
      </c>
      <c r="W30" s="112"/>
      <c r="X30" s="112"/>
      <c r="Y30" s="59"/>
      <c r="Z30" s="59"/>
    </row>
    <row r="31" ht="33.75" customHeight="1">
      <c r="A31" s="138" t="s">
        <v>25</v>
      </c>
      <c r="B31" s="138" t="s">
        <v>47</v>
      </c>
      <c r="C31" s="134" t="s">
        <v>76</v>
      </c>
      <c r="D31" s="42" t="s">
        <v>40</v>
      </c>
      <c r="E31" s="115" t="s">
        <v>30</v>
      </c>
      <c r="F31" s="115" t="s">
        <v>29</v>
      </c>
      <c r="G31" s="115" t="s">
        <v>30</v>
      </c>
      <c r="H31" s="42" t="s">
        <v>31</v>
      </c>
      <c r="I31" s="150" t="s">
        <v>91</v>
      </c>
      <c r="J31" s="42" t="s">
        <v>42</v>
      </c>
      <c r="K31" s="140">
        <v>22937.0</v>
      </c>
      <c r="L31" s="147" t="s">
        <v>92</v>
      </c>
      <c r="M31" s="148" t="s">
        <v>93</v>
      </c>
      <c r="N31" s="42" t="s">
        <v>56</v>
      </c>
      <c r="O31" s="149" t="s">
        <v>94</v>
      </c>
      <c r="P31" s="143">
        <v>701872.0</v>
      </c>
      <c r="Q31" s="138">
        <f t="shared" si="3"/>
        <v>28</v>
      </c>
      <c r="R31" s="122"/>
      <c r="S31" s="123">
        <v>45382.0</v>
      </c>
      <c r="T31" s="59"/>
      <c r="U31" s="124">
        <f t="shared" si="1"/>
        <v>61.49315068</v>
      </c>
      <c r="V31" s="125">
        <f t="shared" si="2"/>
        <v>63.78356164</v>
      </c>
      <c r="W31" s="112"/>
      <c r="X31" s="108">
        <v>13.0</v>
      </c>
      <c r="Y31" s="59"/>
      <c r="Z31" s="59"/>
    </row>
    <row r="32" ht="33.75" customHeight="1">
      <c r="A32" s="138" t="s">
        <v>25</v>
      </c>
      <c r="B32" s="138" t="s">
        <v>47</v>
      </c>
      <c r="C32" s="134" t="s">
        <v>115</v>
      </c>
      <c r="D32" s="115" t="s">
        <v>29</v>
      </c>
      <c r="E32" s="115" t="s">
        <v>30</v>
      </c>
      <c r="F32" s="115" t="s">
        <v>29</v>
      </c>
      <c r="G32" s="115" t="s">
        <v>30</v>
      </c>
      <c r="H32" s="151" t="s">
        <v>116</v>
      </c>
      <c r="I32" s="150" t="s">
        <v>117</v>
      </c>
      <c r="J32" s="42" t="s">
        <v>42</v>
      </c>
      <c r="K32" s="152">
        <v>28888.0</v>
      </c>
      <c r="L32" s="137" t="s">
        <v>118</v>
      </c>
      <c r="M32" s="141" t="s">
        <v>119</v>
      </c>
      <c r="N32" s="42" t="s">
        <v>35</v>
      </c>
      <c r="O32" s="149" t="s">
        <v>120</v>
      </c>
      <c r="P32" s="143">
        <v>696463.0</v>
      </c>
      <c r="Q32" s="138">
        <f t="shared" si="3"/>
        <v>29</v>
      </c>
      <c r="R32" s="122"/>
      <c r="S32" s="123">
        <v>45382.0</v>
      </c>
      <c r="T32" s="59"/>
      <c r="U32" s="124">
        <f t="shared" si="1"/>
        <v>45.1890411</v>
      </c>
      <c r="V32" s="125">
        <f t="shared" si="2"/>
        <v>47.47945205</v>
      </c>
      <c r="W32" s="112"/>
      <c r="X32" s="108">
        <v>13.0</v>
      </c>
      <c r="Y32" s="59"/>
      <c r="Z32" s="59"/>
    </row>
    <row r="33">
      <c r="A33" s="91"/>
      <c r="B33" s="91"/>
      <c r="C33" s="91"/>
      <c r="D33" s="91"/>
      <c r="E33" s="91"/>
      <c r="F33" s="91"/>
      <c r="G33" s="91"/>
      <c r="H33" s="91"/>
      <c r="I33" s="162"/>
      <c r="J33" s="91"/>
      <c r="K33" s="98"/>
      <c r="L33" s="163"/>
      <c r="M33" s="91"/>
      <c r="N33" s="91"/>
      <c r="O33" s="91"/>
      <c r="P33" s="91"/>
      <c r="Q33" s="91"/>
      <c r="R33" s="97"/>
      <c r="S33" s="98"/>
      <c r="T33" s="99"/>
      <c r="U33" s="99"/>
      <c r="V33" s="99"/>
      <c r="W33" s="99"/>
      <c r="X33" s="99"/>
      <c r="Y33" s="99"/>
      <c r="Z33" s="99"/>
    </row>
    <row r="34">
      <c r="A34" s="91"/>
      <c r="B34" s="91"/>
      <c r="C34" s="91"/>
      <c r="D34" s="91"/>
      <c r="E34" s="91"/>
      <c r="F34" s="91"/>
      <c r="G34" s="91"/>
      <c r="H34" s="91"/>
      <c r="I34" s="162"/>
      <c r="J34" s="91"/>
      <c r="K34" s="98"/>
      <c r="L34" s="163"/>
      <c r="M34" s="91"/>
      <c r="N34" s="91"/>
      <c r="O34" s="91"/>
      <c r="P34" s="91"/>
      <c r="Q34" s="91"/>
      <c r="R34" s="97"/>
      <c r="S34" s="98"/>
      <c r="T34" s="99"/>
      <c r="U34" s="99"/>
      <c r="V34" s="99"/>
      <c r="W34" s="99"/>
      <c r="X34" s="99"/>
      <c r="Y34" s="99"/>
      <c r="Z34" s="99"/>
    </row>
    <row r="35">
      <c r="A35" s="91"/>
      <c r="B35" s="91"/>
      <c r="C35" s="164"/>
      <c r="D35" s="25"/>
      <c r="E35" s="25"/>
      <c r="F35" s="25"/>
      <c r="G35" s="91"/>
      <c r="H35" s="165" t="s">
        <v>200</v>
      </c>
      <c r="K35" s="98"/>
      <c r="L35" s="163"/>
      <c r="M35" s="164"/>
      <c r="N35" s="25"/>
      <c r="O35" s="165" t="s">
        <v>201</v>
      </c>
      <c r="R35" s="97"/>
      <c r="S35" s="98"/>
      <c r="T35" s="99"/>
      <c r="U35" s="99"/>
      <c r="V35" s="99"/>
      <c r="W35" s="99"/>
      <c r="X35" s="99"/>
      <c r="Y35" s="99"/>
      <c r="Z35" s="99"/>
    </row>
    <row r="36">
      <c r="A36" s="91"/>
      <c r="B36" s="91"/>
      <c r="C36" s="91"/>
      <c r="D36" s="91"/>
      <c r="E36" s="91"/>
      <c r="F36" s="91"/>
      <c r="G36" s="91"/>
      <c r="H36" s="91"/>
      <c r="I36" s="91"/>
      <c r="J36" s="91"/>
      <c r="K36" s="98"/>
      <c r="L36" s="163"/>
      <c r="M36" s="91"/>
      <c r="N36" s="91"/>
      <c r="O36" s="91"/>
      <c r="P36" s="91"/>
      <c r="Q36" s="91"/>
      <c r="R36" s="97"/>
      <c r="S36" s="98"/>
      <c r="T36" s="99"/>
      <c r="U36" s="99"/>
      <c r="V36" s="99"/>
      <c r="W36" s="99"/>
      <c r="X36" s="99"/>
      <c r="Y36" s="99"/>
      <c r="Z36" s="99"/>
    </row>
    <row r="37">
      <c r="A37" s="91"/>
      <c r="B37" s="91"/>
      <c r="C37" s="91"/>
      <c r="D37" s="91"/>
      <c r="E37" s="91"/>
      <c r="F37" s="91"/>
      <c r="G37" s="91"/>
      <c r="H37" s="91"/>
      <c r="I37" s="162"/>
      <c r="J37" s="91"/>
      <c r="K37" s="98"/>
      <c r="L37" s="166"/>
      <c r="M37" s="167">
        <v>44865.0</v>
      </c>
      <c r="N37" s="25"/>
      <c r="O37" s="168" t="s">
        <v>202</v>
      </c>
      <c r="R37" s="97"/>
      <c r="S37" s="98"/>
      <c r="T37" s="99"/>
      <c r="U37" s="99"/>
      <c r="V37" s="99"/>
      <c r="W37" s="99"/>
      <c r="X37" s="99"/>
      <c r="Y37" s="99"/>
      <c r="Z37" s="99"/>
    </row>
    <row r="38">
      <c r="L38" s="173"/>
    </row>
    <row r="39">
      <c r="L39" s="173"/>
    </row>
    <row r="40">
      <c r="L40" s="173"/>
    </row>
    <row r="41">
      <c r="L41" s="173"/>
    </row>
    <row r="42">
      <c r="L42" s="173"/>
    </row>
    <row r="43">
      <c r="L43" s="173"/>
    </row>
    <row r="44">
      <c r="L44" s="173"/>
    </row>
    <row r="45">
      <c r="C45" s="59"/>
    </row>
    <row r="46">
      <c r="C46" s="59"/>
    </row>
    <row r="47">
      <c r="C47" s="59"/>
    </row>
    <row r="48">
      <c r="C48" s="59"/>
    </row>
    <row r="49">
      <c r="C49" s="59"/>
    </row>
    <row r="50">
      <c r="C50" s="59"/>
    </row>
    <row r="51">
      <c r="C51" s="59"/>
    </row>
    <row r="52">
      <c r="C52" s="59"/>
    </row>
    <row r="53">
      <c r="C53" s="59"/>
    </row>
    <row r="54">
      <c r="C54" s="59"/>
    </row>
    <row r="55">
      <c r="C55" s="59"/>
    </row>
    <row r="56">
      <c r="C56" s="59"/>
    </row>
    <row r="57">
      <c r="C57" s="59"/>
    </row>
    <row r="58">
      <c r="C58" s="59"/>
    </row>
    <row r="59">
      <c r="C59" s="59"/>
    </row>
    <row r="60">
      <c r="C60" s="59"/>
    </row>
    <row r="61">
      <c r="C61" s="59"/>
    </row>
    <row r="62">
      <c r="C62" s="59"/>
    </row>
    <row r="63">
      <c r="C63" s="59"/>
    </row>
    <row r="64">
      <c r="C64" s="59"/>
    </row>
    <row r="65">
      <c r="C65" s="59"/>
    </row>
    <row r="66">
      <c r="C66" s="59"/>
    </row>
    <row r="67">
      <c r="C67" s="59"/>
    </row>
    <row r="68">
      <c r="C68" s="59"/>
    </row>
    <row r="69">
      <c r="C69" s="59"/>
    </row>
    <row r="70">
      <c r="C70" s="59"/>
    </row>
    <row r="71">
      <c r="C71" s="59"/>
    </row>
    <row r="72">
      <c r="C72" s="59"/>
    </row>
    <row r="73">
      <c r="C73" s="59"/>
    </row>
    <row r="74">
      <c r="C74" s="59"/>
    </row>
    <row r="75">
      <c r="C75" s="59"/>
    </row>
    <row r="76">
      <c r="C76" s="59"/>
    </row>
    <row r="77">
      <c r="C77" s="59"/>
    </row>
    <row r="78">
      <c r="C78" s="59"/>
    </row>
    <row r="79">
      <c r="C79" s="59"/>
    </row>
    <row r="80">
      <c r="C80" s="59"/>
    </row>
    <row r="81">
      <c r="C81" s="59"/>
    </row>
    <row r="82">
      <c r="C82" s="59"/>
    </row>
    <row r="83">
      <c r="C83" s="59"/>
    </row>
    <row r="84">
      <c r="C84" s="59"/>
    </row>
    <row r="85">
      <c r="C85" s="59"/>
    </row>
    <row r="86">
      <c r="C86" s="59"/>
    </row>
    <row r="87">
      <c r="C87" s="59"/>
    </row>
    <row r="88">
      <c r="C88" s="59"/>
    </row>
    <row r="89">
      <c r="C89" s="59"/>
    </row>
    <row r="90">
      <c r="C90" s="59"/>
    </row>
    <row r="91">
      <c r="C91" s="59"/>
    </row>
    <row r="92">
      <c r="C92" s="59"/>
    </row>
    <row r="93">
      <c r="C93" s="59"/>
    </row>
    <row r="94">
      <c r="C94" s="59"/>
    </row>
    <row r="95">
      <c r="C95" s="59"/>
    </row>
    <row r="96">
      <c r="C96" s="59"/>
    </row>
    <row r="97">
      <c r="C97" s="59"/>
    </row>
    <row r="98">
      <c r="C98" s="59"/>
    </row>
    <row r="99">
      <c r="C99" s="59"/>
    </row>
    <row r="100">
      <c r="C100" s="59"/>
    </row>
    <row r="101">
      <c r="C101" s="59"/>
    </row>
    <row r="102">
      <c r="C102" s="59"/>
    </row>
    <row r="103">
      <c r="C103" s="59"/>
    </row>
    <row r="104">
      <c r="C104" s="59"/>
    </row>
    <row r="105">
      <c r="C105" s="59"/>
    </row>
    <row r="106">
      <c r="C106" s="59"/>
    </row>
    <row r="107">
      <c r="C107" s="59"/>
    </row>
    <row r="108">
      <c r="C108" s="59"/>
    </row>
    <row r="109">
      <c r="C109" s="59"/>
    </row>
    <row r="110">
      <c r="C110" s="59"/>
    </row>
    <row r="111">
      <c r="C111" s="59"/>
    </row>
    <row r="112">
      <c r="C112" s="59"/>
    </row>
    <row r="113">
      <c r="C113" s="59"/>
    </row>
    <row r="114">
      <c r="C114" s="59"/>
    </row>
    <row r="115">
      <c r="C115" s="59"/>
    </row>
    <row r="116">
      <c r="C116" s="59"/>
    </row>
    <row r="117">
      <c r="C117" s="59"/>
    </row>
    <row r="118">
      <c r="C118" s="59"/>
    </row>
    <row r="119">
      <c r="C119" s="59"/>
    </row>
    <row r="120">
      <c r="C120" s="59"/>
    </row>
    <row r="121">
      <c r="C121" s="59"/>
    </row>
    <row r="122">
      <c r="C122" s="59"/>
    </row>
    <row r="123">
      <c r="C123" s="59"/>
    </row>
    <row r="124">
      <c r="C124" s="59"/>
    </row>
    <row r="125">
      <c r="C125" s="59"/>
    </row>
    <row r="126">
      <c r="C126" s="59"/>
    </row>
    <row r="127">
      <c r="C127" s="59"/>
    </row>
    <row r="128">
      <c r="C128" s="59"/>
    </row>
    <row r="129">
      <c r="C129" s="59"/>
    </row>
    <row r="130">
      <c r="C130" s="59"/>
    </row>
    <row r="131">
      <c r="C131" s="59"/>
    </row>
    <row r="132">
      <c r="C132" s="59"/>
    </row>
    <row r="133">
      <c r="C133" s="59"/>
    </row>
    <row r="134">
      <c r="C134" s="59"/>
    </row>
    <row r="135">
      <c r="C135" s="59"/>
    </row>
    <row r="136">
      <c r="C136" s="59"/>
    </row>
    <row r="137">
      <c r="C137" s="59"/>
    </row>
    <row r="138">
      <c r="C138" s="59"/>
    </row>
    <row r="139">
      <c r="C139" s="59"/>
    </row>
    <row r="140">
      <c r="C140" s="59"/>
    </row>
    <row r="141">
      <c r="C141" s="59"/>
    </row>
    <row r="142">
      <c r="C142" s="59"/>
    </row>
    <row r="143">
      <c r="C143" s="59"/>
    </row>
    <row r="144">
      <c r="C144" s="59"/>
    </row>
    <row r="145">
      <c r="C145" s="59"/>
    </row>
    <row r="146">
      <c r="C146" s="59"/>
    </row>
    <row r="147">
      <c r="C147" s="59"/>
    </row>
    <row r="148">
      <c r="C148" s="59"/>
    </row>
    <row r="149">
      <c r="C149" s="59"/>
    </row>
    <row r="150">
      <c r="C150" s="59"/>
    </row>
    <row r="151">
      <c r="C151" s="59"/>
    </row>
    <row r="152">
      <c r="C152" s="59"/>
    </row>
    <row r="153">
      <c r="C153" s="59"/>
    </row>
    <row r="154">
      <c r="C154" s="59"/>
    </row>
    <row r="155">
      <c r="C155" s="59"/>
    </row>
    <row r="156">
      <c r="C156" s="59"/>
    </row>
    <row r="157">
      <c r="C157" s="59"/>
    </row>
    <row r="158">
      <c r="C158" s="59"/>
    </row>
    <row r="159">
      <c r="C159" s="59"/>
    </row>
    <row r="160">
      <c r="C160" s="59"/>
    </row>
    <row r="161">
      <c r="C161" s="59"/>
    </row>
    <row r="162">
      <c r="C162" s="59"/>
    </row>
    <row r="163">
      <c r="C163" s="59"/>
    </row>
    <row r="164">
      <c r="C164" s="59"/>
    </row>
    <row r="165">
      <c r="C165" s="59"/>
    </row>
    <row r="166">
      <c r="C166" s="59"/>
    </row>
    <row r="167">
      <c r="C167" s="59"/>
    </row>
    <row r="168">
      <c r="C168" s="59"/>
    </row>
    <row r="169">
      <c r="C169" s="59"/>
    </row>
    <row r="170">
      <c r="C170" s="59"/>
    </row>
    <row r="171">
      <c r="C171" s="59"/>
    </row>
    <row r="172">
      <c r="C172" s="59"/>
    </row>
    <row r="173">
      <c r="C173" s="59"/>
    </row>
    <row r="174">
      <c r="C174" s="59"/>
    </row>
    <row r="175">
      <c r="C175" s="59"/>
    </row>
    <row r="176">
      <c r="C176" s="59"/>
    </row>
    <row r="177">
      <c r="C177" s="59"/>
    </row>
    <row r="178">
      <c r="C178" s="59"/>
    </row>
    <row r="179">
      <c r="C179" s="59"/>
    </row>
    <row r="180">
      <c r="C180" s="59"/>
    </row>
    <row r="181">
      <c r="C181" s="59"/>
    </row>
    <row r="182">
      <c r="C182" s="59"/>
    </row>
    <row r="183">
      <c r="C183" s="59"/>
    </row>
    <row r="184">
      <c r="C184" s="59"/>
    </row>
    <row r="185">
      <c r="C185" s="59"/>
    </row>
    <row r="186">
      <c r="C186" s="59"/>
    </row>
    <row r="187">
      <c r="C187" s="59"/>
    </row>
    <row r="188">
      <c r="C188" s="59"/>
    </row>
    <row r="189">
      <c r="C189" s="59"/>
    </row>
    <row r="190">
      <c r="C190" s="59"/>
    </row>
    <row r="191">
      <c r="C191" s="59"/>
    </row>
    <row r="192">
      <c r="C192" s="59"/>
    </row>
    <row r="193">
      <c r="C193" s="59"/>
    </row>
    <row r="194">
      <c r="C194" s="59"/>
    </row>
    <row r="195">
      <c r="C195" s="59"/>
    </row>
    <row r="196">
      <c r="C196" s="59"/>
    </row>
    <row r="197">
      <c r="C197" s="59"/>
    </row>
    <row r="198">
      <c r="C198" s="59"/>
    </row>
    <row r="199">
      <c r="C199" s="59"/>
    </row>
    <row r="200">
      <c r="C200" s="59"/>
    </row>
    <row r="201">
      <c r="C201" s="59"/>
    </row>
    <row r="202">
      <c r="C202" s="59"/>
    </row>
    <row r="203">
      <c r="C203" s="59"/>
    </row>
    <row r="204">
      <c r="C204" s="59"/>
    </row>
    <row r="205">
      <c r="C205" s="59"/>
    </row>
    <row r="206">
      <c r="C206" s="59"/>
    </row>
    <row r="207">
      <c r="C207" s="59"/>
    </row>
    <row r="208">
      <c r="C208" s="59"/>
    </row>
    <row r="209">
      <c r="C209" s="59"/>
    </row>
    <row r="210">
      <c r="C210" s="59"/>
    </row>
    <row r="211">
      <c r="C211" s="59"/>
    </row>
    <row r="212">
      <c r="C212" s="59"/>
    </row>
    <row r="213">
      <c r="C213" s="59"/>
    </row>
    <row r="214">
      <c r="C214" s="59"/>
    </row>
    <row r="215">
      <c r="C215" s="59"/>
    </row>
    <row r="216">
      <c r="C216" s="59"/>
    </row>
    <row r="217">
      <c r="C217" s="59"/>
    </row>
    <row r="218">
      <c r="C218" s="59"/>
    </row>
    <row r="219">
      <c r="C219" s="59"/>
    </row>
    <row r="220">
      <c r="C220" s="59"/>
    </row>
    <row r="221">
      <c r="C221" s="59"/>
    </row>
    <row r="222">
      <c r="C222" s="59"/>
    </row>
    <row r="223">
      <c r="C223" s="59"/>
    </row>
    <row r="224">
      <c r="C224" s="59"/>
    </row>
    <row r="225">
      <c r="C225" s="59"/>
    </row>
    <row r="226">
      <c r="C226" s="59"/>
    </row>
    <row r="227">
      <c r="C227" s="59"/>
    </row>
    <row r="228">
      <c r="C228" s="59"/>
    </row>
    <row r="229">
      <c r="C229" s="59"/>
    </row>
    <row r="230">
      <c r="C230" s="59"/>
    </row>
    <row r="231">
      <c r="C231" s="59"/>
    </row>
    <row r="232">
      <c r="C232" s="59"/>
    </row>
    <row r="233">
      <c r="C233" s="59"/>
    </row>
    <row r="234">
      <c r="C234" s="59"/>
    </row>
    <row r="235">
      <c r="C235" s="59"/>
    </row>
    <row r="236">
      <c r="C236" s="59"/>
    </row>
    <row r="237">
      <c r="C237" s="59"/>
    </row>
    <row r="238">
      <c r="C238" s="59"/>
    </row>
    <row r="239">
      <c r="C239" s="59"/>
    </row>
    <row r="240">
      <c r="C240" s="59"/>
    </row>
    <row r="241">
      <c r="C241" s="59"/>
    </row>
    <row r="242">
      <c r="C242" s="59"/>
    </row>
    <row r="243">
      <c r="C243" s="59"/>
    </row>
    <row r="244">
      <c r="C244" s="59"/>
    </row>
    <row r="245">
      <c r="C245" s="59"/>
    </row>
    <row r="246">
      <c r="C246" s="59"/>
    </row>
    <row r="247">
      <c r="C247" s="59"/>
    </row>
    <row r="248">
      <c r="C248" s="59"/>
    </row>
    <row r="249">
      <c r="C249" s="59"/>
    </row>
    <row r="250">
      <c r="C250" s="59"/>
    </row>
    <row r="251">
      <c r="C251" s="59"/>
    </row>
    <row r="252">
      <c r="C252" s="59"/>
    </row>
    <row r="253">
      <c r="C253" s="59"/>
    </row>
    <row r="254">
      <c r="C254" s="59"/>
    </row>
    <row r="255">
      <c r="C255" s="59"/>
    </row>
    <row r="256">
      <c r="C256" s="59"/>
    </row>
    <row r="257">
      <c r="C257" s="59"/>
    </row>
    <row r="258">
      <c r="C258" s="59"/>
    </row>
    <row r="259">
      <c r="C259" s="59"/>
    </row>
    <row r="260">
      <c r="C260" s="59"/>
    </row>
    <row r="261">
      <c r="C261" s="59"/>
    </row>
    <row r="262">
      <c r="C262" s="59"/>
    </row>
    <row r="263">
      <c r="C263" s="59"/>
    </row>
    <row r="264">
      <c r="C264" s="59"/>
    </row>
    <row r="265">
      <c r="C265" s="59"/>
    </row>
    <row r="266">
      <c r="C266" s="59"/>
    </row>
    <row r="267">
      <c r="C267" s="59"/>
    </row>
    <row r="268">
      <c r="C268" s="59"/>
    </row>
    <row r="269">
      <c r="C269" s="59"/>
    </row>
    <row r="270">
      <c r="C270" s="59"/>
    </row>
    <row r="271">
      <c r="C271" s="59"/>
    </row>
    <row r="272">
      <c r="C272" s="59"/>
    </row>
    <row r="273">
      <c r="C273" s="59"/>
    </row>
    <row r="274">
      <c r="C274" s="59"/>
    </row>
    <row r="275">
      <c r="C275" s="59"/>
    </row>
    <row r="276">
      <c r="C276" s="59"/>
    </row>
    <row r="277">
      <c r="C277" s="59"/>
    </row>
    <row r="278">
      <c r="C278" s="59"/>
    </row>
    <row r="279">
      <c r="C279" s="59"/>
    </row>
    <row r="280">
      <c r="C280" s="59"/>
    </row>
    <row r="281">
      <c r="C281" s="59"/>
    </row>
    <row r="282">
      <c r="C282" s="59"/>
    </row>
    <row r="283">
      <c r="C283" s="59"/>
    </row>
    <row r="284">
      <c r="C284" s="59"/>
    </row>
    <row r="285">
      <c r="C285" s="59"/>
    </row>
    <row r="286">
      <c r="C286" s="59"/>
    </row>
    <row r="287">
      <c r="C287" s="59"/>
    </row>
    <row r="288">
      <c r="C288" s="59"/>
    </row>
    <row r="289">
      <c r="C289" s="59"/>
    </row>
    <row r="290">
      <c r="C290" s="59"/>
    </row>
    <row r="291">
      <c r="C291" s="59"/>
    </row>
    <row r="292">
      <c r="C292" s="59"/>
    </row>
    <row r="293">
      <c r="C293" s="59"/>
    </row>
    <row r="294">
      <c r="C294" s="59"/>
    </row>
    <row r="295">
      <c r="C295" s="59"/>
    </row>
    <row r="296">
      <c r="C296" s="59"/>
    </row>
    <row r="297">
      <c r="C297" s="59"/>
    </row>
    <row r="298">
      <c r="C298" s="59"/>
    </row>
    <row r="299">
      <c r="C299" s="59"/>
    </row>
    <row r="300">
      <c r="C300" s="59"/>
    </row>
    <row r="301">
      <c r="C301" s="59"/>
    </row>
    <row r="302">
      <c r="C302" s="59"/>
    </row>
    <row r="303">
      <c r="C303" s="59"/>
    </row>
    <row r="304">
      <c r="C304" s="59"/>
    </row>
    <row r="305">
      <c r="C305" s="59"/>
    </row>
    <row r="306">
      <c r="C306" s="59"/>
    </row>
    <row r="307">
      <c r="C307" s="59"/>
    </row>
    <row r="308">
      <c r="C308" s="59"/>
    </row>
    <row r="309">
      <c r="C309" s="59"/>
    </row>
    <row r="310">
      <c r="C310" s="59"/>
    </row>
    <row r="311">
      <c r="C311" s="59"/>
    </row>
    <row r="312">
      <c r="C312" s="59"/>
    </row>
    <row r="313">
      <c r="C313" s="59"/>
    </row>
    <row r="314">
      <c r="C314" s="59"/>
    </row>
    <row r="315">
      <c r="C315" s="59"/>
    </row>
    <row r="316">
      <c r="C316" s="59"/>
    </row>
    <row r="317">
      <c r="C317" s="59"/>
    </row>
    <row r="318">
      <c r="C318" s="59"/>
    </row>
    <row r="319">
      <c r="C319" s="59"/>
    </row>
    <row r="320">
      <c r="C320" s="59"/>
    </row>
    <row r="321">
      <c r="C321" s="59"/>
    </row>
    <row r="322">
      <c r="C322" s="59"/>
    </row>
    <row r="323">
      <c r="C323" s="59"/>
    </row>
    <row r="324">
      <c r="C324" s="59"/>
    </row>
    <row r="325">
      <c r="C325" s="59"/>
    </row>
    <row r="326">
      <c r="C326" s="59"/>
    </row>
    <row r="327">
      <c r="C327" s="59"/>
    </row>
    <row r="328">
      <c r="C328" s="59"/>
    </row>
    <row r="329">
      <c r="C329" s="59"/>
    </row>
    <row r="330">
      <c r="C330" s="59"/>
    </row>
    <row r="331">
      <c r="C331" s="59"/>
    </row>
    <row r="332">
      <c r="C332" s="59"/>
    </row>
    <row r="333">
      <c r="C333" s="59"/>
    </row>
    <row r="334">
      <c r="C334" s="59"/>
    </row>
    <row r="335">
      <c r="C335" s="59"/>
    </row>
    <row r="336">
      <c r="C336" s="59"/>
    </row>
    <row r="337">
      <c r="C337" s="59"/>
    </row>
    <row r="338">
      <c r="C338" s="59"/>
    </row>
    <row r="339">
      <c r="C339" s="59"/>
    </row>
    <row r="340">
      <c r="C340" s="59"/>
    </row>
    <row r="341">
      <c r="C341" s="59"/>
    </row>
    <row r="342">
      <c r="C342" s="59"/>
    </row>
    <row r="343">
      <c r="C343" s="59"/>
    </row>
    <row r="344">
      <c r="C344" s="59"/>
    </row>
    <row r="345">
      <c r="C345" s="59"/>
    </row>
    <row r="346">
      <c r="C346" s="59"/>
    </row>
    <row r="347">
      <c r="C347" s="59"/>
    </row>
    <row r="348">
      <c r="C348" s="59"/>
    </row>
    <row r="349">
      <c r="C349" s="59"/>
    </row>
    <row r="350">
      <c r="C350" s="59"/>
    </row>
    <row r="351">
      <c r="C351" s="59"/>
    </row>
    <row r="352">
      <c r="C352" s="59"/>
    </row>
    <row r="353">
      <c r="C353" s="59"/>
    </row>
    <row r="354">
      <c r="C354" s="59"/>
    </row>
    <row r="355">
      <c r="C355" s="59"/>
    </row>
    <row r="356">
      <c r="C356" s="59"/>
    </row>
    <row r="357">
      <c r="C357" s="59"/>
    </row>
    <row r="358">
      <c r="C358" s="59"/>
    </row>
    <row r="359">
      <c r="C359" s="59"/>
    </row>
    <row r="360">
      <c r="C360" s="59"/>
    </row>
    <row r="361">
      <c r="C361" s="59"/>
    </row>
    <row r="362">
      <c r="C362" s="59"/>
    </row>
    <row r="363">
      <c r="C363" s="59"/>
    </row>
    <row r="364">
      <c r="C364" s="59"/>
    </row>
    <row r="365">
      <c r="C365" s="59"/>
    </row>
    <row r="366">
      <c r="C366" s="59"/>
    </row>
    <row r="367">
      <c r="C367" s="59"/>
    </row>
    <row r="368">
      <c r="C368" s="59"/>
    </row>
    <row r="369">
      <c r="C369" s="59"/>
    </row>
    <row r="370">
      <c r="C370" s="59"/>
    </row>
    <row r="371">
      <c r="C371" s="59"/>
    </row>
    <row r="372">
      <c r="C372" s="59"/>
    </row>
    <row r="373">
      <c r="C373" s="59"/>
    </row>
    <row r="374">
      <c r="C374" s="59"/>
    </row>
    <row r="375">
      <c r="C375" s="59"/>
    </row>
    <row r="376">
      <c r="C376" s="59"/>
    </row>
    <row r="377">
      <c r="C377" s="59"/>
    </row>
    <row r="378">
      <c r="C378" s="59"/>
    </row>
    <row r="379">
      <c r="C379" s="59"/>
    </row>
    <row r="380">
      <c r="C380" s="59"/>
    </row>
    <row r="381">
      <c r="C381" s="59"/>
    </row>
    <row r="382">
      <c r="C382" s="59"/>
    </row>
    <row r="383">
      <c r="C383" s="59"/>
    </row>
    <row r="384">
      <c r="C384" s="59"/>
    </row>
    <row r="385">
      <c r="C385" s="59"/>
    </row>
    <row r="386">
      <c r="C386" s="59"/>
    </row>
    <row r="387">
      <c r="C387" s="59"/>
    </row>
    <row r="388">
      <c r="C388" s="59"/>
    </row>
    <row r="389">
      <c r="C389" s="59"/>
    </row>
    <row r="390">
      <c r="C390" s="59"/>
    </row>
    <row r="391">
      <c r="C391" s="59"/>
    </row>
    <row r="392">
      <c r="C392" s="59"/>
    </row>
    <row r="393">
      <c r="C393" s="59"/>
    </row>
    <row r="394">
      <c r="C394" s="59"/>
    </row>
    <row r="395">
      <c r="C395" s="59"/>
    </row>
    <row r="396">
      <c r="C396" s="59"/>
    </row>
    <row r="397">
      <c r="C397" s="59"/>
    </row>
    <row r="398">
      <c r="C398" s="59"/>
    </row>
    <row r="399">
      <c r="C399" s="59"/>
    </row>
    <row r="400">
      <c r="C400" s="59"/>
    </row>
    <row r="401">
      <c r="C401" s="59"/>
    </row>
    <row r="402">
      <c r="C402" s="59"/>
    </row>
    <row r="403">
      <c r="C403" s="59"/>
    </row>
    <row r="404">
      <c r="C404" s="59"/>
    </row>
    <row r="405">
      <c r="C405" s="59"/>
    </row>
    <row r="406">
      <c r="C406" s="59"/>
    </row>
    <row r="407">
      <c r="C407" s="59"/>
    </row>
    <row r="408">
      <c r="C408" s="59"/>
    </row>
    <row r="409">
      <c r="C409" s="59"/>
    </row>
    <row r="410">
      <c r="C410" s="59"/>
    </row>
    <row r="411">
      <c r="C411" s="59"/>
    </row>
    <row r="412">
      <c r="C412" s="59"/>
    </row>
    <row r="413">
      <c r="C413" s="59"/>
    </row>
    <row r="414">
      <c r="C414" s="59"/>
    </row>
    <row r="415">
      <c r="C415" s="59"/>
    </row>
    <row r="416">
      <c r="C416" s="59"/>
    </row>
    <row r="417">
      <c r="C417" s="59"/>
    </row>
    <row r="418">
      <c r="C418" s="59"/>
    </row>
    <row r="419">
      <c r="C419" s="59"/>
    </row>
    <row r="420">
      <c r="C420" s="59"/>
    </row>
    <row r="421">
      <c r="C421" s="59"/>
    </row>
    <row r="422">
      <c r="C422" s="59"/>
    </row>
    <row r="423">
      <c r="C423" s="59"/>
    </row>
    <row r="424">
      <c r="C424" s="59"/>
    </row>
    <row r="425">
      <c r="C425" s="59"/>
    </row>
    <row r="426">
      <c r="C426" s="59"/>
    </row>
    <row r="427">
      <c r="C427" s="59"/>
    </row>
    <row r="428">
      <c r="C428" s="59"/>
    </row>
    <row r="429">
      <c r="C429" s="59"/>
    </row>
    <row r="430">
      <c r="C430" s="59"/>
    </row>
    <row r="431">
      <c r="C431" s="59"/>
    </row>
    <row r="432">
      <c r="C432" s="59"/>
    </row>
    <row r="433">
      <c r="C433" s="59"/>
    </row>
    <row r="434">
      <c r="C434" s="59"/>
    </row>
    <row r="435">
      <c r="C435" s="59"/>
    </row>
    <row r="436">
      <c r="C436" s="59"/>
    </row>
    <row r="437">
      <c r="C437" s="59"/>
    </row>
    <row r="438">
      <c r="C438" s="59"/>
    </row>
    <row r="439">
      <c r="C439" s="59"/>
    </row>
    <row r="440">
      <c r="C440" s="59"/>
    </row>
    <row r="441">
      <c r="C441" s="59"/>
    </row>
    <row r="442">
      <c r="C442" s="59"/>
    </row>
    <row r="443">
      <c r="C443" s="59"/>
    </row>
    <row r="444">
      <c r="C444" s="59"/>
    </row>
    <row r="445">
      <c r="C445" s="59"/>
    </row>
    <row r="446">
      <c r="C446" s="59"/>
    </row>
    <row r="447">
      <c r="C447" s="59"/>
    </row>
    <row r="448">
      <c r="C448" s="59"/>
    </row>
    <row r="449">
      <c r="C449" s="59"/>
    </row>
    <row r="450">
      <c r="C450" s="59"/>
    </row>
    <row r="451">
      <c r="C451" s="59"/>
    </row>
    <row r="452">
      <c r="C452" s="59"/>
    </row>
    <row r="453">
      <c r="C453" s="59"/>
    </row>
    <row r="454">
      <c r="C454" s="59"/>
    </row>
    <row r="455">
      <c r="C455" s="59"/>
    </row>
    <row r="456">
      <c r="C456" s="59"/>
    </row>
    <row r="457">
      <c r="C457" s="59"/>
    </row>
    <row r="458">
      <c r="C458" s="59"/>
    </row>
    <row r="459">
      <c r="C459" s="59"/>
    </row>
    <row r="460">
      <c r="C460" s="59"/>
    </row>
    <row r="461">
      <c r="C461" s="59"/>
    </row>
    <row r="462">
      <c r="C462" s="59"/>
    </row>
    <row r="463">
      <c r="C463" s="59"/>
    </row>
    <row r="464">
      <c r="C464" s="59"/>
    </row>
    <row r="465">
      <c r="C465" s="59"/>
    </row>
    <row r="466">
      <c r="C466" s="59"/>
    </row>
    <row r="467">
      <c r="C467" s="59"/>
    </row>
    <row r="468">
      <c r="C468" s="59"/>
    </row>
    <row r="469">
      <c r="C469" s="59"/>
    </row>
    <row r="470">
      <c r="C470" s="59"/>
    </row>
    <row r="471">
      <c r="C471" s="59"/>
    </row>
    <row r="472">
      <c r="C472" s="59"/>
    </row>
    <row r="473">
      <c r="C473" s="59"/>
    </row>
    <row r="474">
      <c r="C474" s="59"/>
    </row>
    <row r="475">
      <c r="C475" s="59"/>
    </row>
    <row r="476">
      <c r="C476" s="59"/>
    </row>
    <row r="477">
      <c r="C477" s="59"/>
    </row>
    <row r="478">
      <c r="C478" s="59"/>
    </row>
    <row r="479">
      <c r="C479" s="59"/>
    </row>
    <row r="480">
      <c r="C480" s="59"/>
    </row>
    <row r="481">
      <c r="C481" s="59"/>
    </row>
    <row r="482">
      <c r="C482" s="59"/>
    </row>
    <row r="483">
      <c r="C483" s="59"/>
    </row>
    <row r="484">
      <c r="C484" s="59"/>
    </row>
    <row r="485">
      <c r="C485" s="59"/>
    </row>
    <row r="486">
      <c r="C486" s="59"/>
    </row>
    <row r="487">
      <c r="C487" s="59"/>
    </row>
    <row r="488">
      <c r="C488" s="59"/>
    </row>
    <row r="489">
      <c r="C489" s="59"/>
    </row>
    <row r="490">
      <c r="C490" s="59"/>
    </row>
    <row r="491">
      <c r="C491" s="59"/>
    </row>
    <row r="492">
      <c r="C492" s="59"/>
    </row>
    <row r="493">
      <c r="C493" s="59"/>
    </row>
    <row r="494">
      <c r="C494" s="59"/>
    </row>
    <row r="495">
      <c r="C495" s="59"/>
    </row>
    <row r="496">
      <c r="C496" s="59"/>
    </row>
    <row r="497">
      <c r="C497" s="59"/>
    </row>
    <row r="498">
      <c r="C498" s="59"/>
    </row>
    <row r="499">
      <c r="C499" s="59"/>
    </row>
    <row r="500">
      <c r="C500" s="59"/>
    </row>
    <row r="501">
      <c r="C501" s="59"/>
    </row>
    <row r="502">
      <c r="C502" s="59"/>
    </row>
    <row r="503">
      <c r="C503" s="59"/>
    </row>
    <row r="504">
      <c r="C504" s="59"/>
    </row>
    <row r="505">
      <c r="C505" s="59"/>
    </row>
    <row r="506">
      <c r="C506" s="59"/>
    </row>
    <row r="507">
      <c r="C507" s="59"/>
    </row>
    <row r="508">
      <c r="C508" s="59"/>
    </row>
    <row r="509">
      <c r="C509" s="59"/>
    </row>
    <row r="510">
      <c r="C510" s="59"/>
    </row>
    <row r="511">
      <c r="C511" s="59"/>
    </row>
    <row r="512">
      <c r="C512" s="59"/>
    </row>
    <row r="513">
      <c r="C513" s="59"/>
    </row>
    <row r="514">
      <c r="C514" s="59"/>
    </row>
    <row r="515">
      <c r="C515" s="59"/>
    </row>
    <row r="516">
      <c r="C516" s="59"/>
    </row>
    <row r="517">
      <c r="C517" s="59"/>
    </row>
    <row r="518">
      <c r="C518" s="59"/>
    </row>
    <row r="519">
      <c r="C519" s="59"/>
    </row>
    <row r="520">
      <c r="C520" s="59"/>
    </row>
    <row r="521">
      <c r="C521" s="59"/>
    </row>
    <row r="522">
      <c r="C522" s="59"/>
    </row>
    <row r="523">
      <c r="C523" s="59"/>
    </row>
    <row r="524">
      <c r="C524" s="59"/>
    </row>
    <row r="525">
      <c r="C525" s="59"/>
    </row>
    <row r="526">
      <c r="C526" s="59"/>
    </row>
    <row r="527">
      <c r="C527" s="59"/>
    </row>
    <row r="528">
      <c r="C528" s="59"/>
    </row>
    <row r="529">
      <c r="C529" s="59"/>
    </row>
    <row r="530">
      <c r="C530" s="59"/>
    </row>
    <row r="531">
      <c r="C531" s="59"/>
    </row>
    <row r="532">
      <c r="C532" s="59"/>
    </row>
    <row r="533">
      <c r="C533" s="59"/>
    </row>
    <row r="534">
      <c r="C534" s="59"/>
    </row>
    <row r="535">
      <c r="C535" s="59"/>
    </row>
    <row r="536">
      <c r="C536" s="59"/>
    </row>
    <row r="537">
      <c r="C537" s="59"/>
    </row>
    <row r="538">
      <c r="C538" s="59"/>
    </row>
    <row r="539">
      <c r="C539" s="59"/>
    </row>
    <row r="540">
      <c r="C540" s="59"/>
    </row>
    <row r="541">
      <c r="C541" s="59"/>
    </row>
    <row r="542">
      <c r="C542" s="59"/>
    </row>
    <row r="543">
      <c r="C543" s="59"/>
    </row>
    <row r="544">
      <c r="C544" s="59"/>
    </row>
    <row r="545">
      <c r="C545" s="59"/>
    </row>
    <row r="546">
      <c r="C546" s="59"/>
    </row>
    <row r="547">
      <c r="C547" s="59"/>
    </row>
    <row r="548">
      <c r="C548" s="59"/>
    </row>
    <row r="549">
      <c r="C549" s="59"/>
    </row>
    <row r="550">
      <c r="C550" s="59"/>
    </row>
    <row r="551">
      <c r="C551" s="59"/>
    </row>
    <row r="552">
      <c r="C552" s="59"/>
    </row>
    <row r="553">
      <c r="C553" s="59"/>
    </row>
    <row r="554">
      <c r="C554" s="59"/>
    </row>
    <row r="555">
      <c r="C555" s="59"/>
    </row>
    <row r="556">
      <c r="C556" s="59"/>
    </row>
    <row r="557">
      <c r="C557" s="59"/>
    </row>
    <row r="558">
      <c r="C558" s="59"/>
    </row>
    <row r="559">
      <c r="C559" s="59"/>
    </row>
    <row r="560">
      <c r="C560" s="59"/>
    </row>
    <row r="561">
      <c r="C561" s="59"/>
    </row>
    <row r="562">
      <c r="C562" s="59"/>
    </row>
    <row r="563">
      <c r="C563" s="59"/>
    </row>
    <row r="564">
      <c r="C564" s="59"/>
    </row>
    <row r="565">
      <c r="C565" s="59"/>
    </row>
    <row r="566">
      <c r="C566" s="59"/>
    </row>
    <row r="567">
      <c r="C567" s="59"/>
    </row>
    <row r="568">
      <c r="C568" s="59"/>
    </row>
    <row r="569">
      <c r="C569" s="59"/>
    </row>
    <row r="570">
      <c r="C570" s="59"/>
    </row>
    <row r="571">
      <c r="C571" s="59"/>
    </row>
    <row r="572">
      <c r="C572" s="59"/>
    </row>
    <row r="573">
      <c r="C573" s="59"/>
    </row>
    <row r="574">
      <c r="C574" s="59"/>
    </row>
    <row r="575">
      <c r="C575" s="59"/>
    </row>
    <row r="576">
      <c r="C576" s="59"/>
    </row>
    <row r="577">
      <c r="C577" s="59"/>
    </row>
    <row r="578">
      <c r="C578" s="59"/>
    </row>
    <row r="579">
      <c r="C579" s="59"/>
    </row>
    <row r="580">
      <c r="C580" s="59"/>
    </row>
    <row r="581">
      <c r="C581" s="59"/>
    </row>
    <row r="582">
      <c r="C582" s="59"/>
    </row>
    <row r="583">
      <c r="C583" s="59"/>
    </row>
    <row r="584">
      <c r="C584" s="59"/>
    </row>
    <row r="585">
      <c r="C585" s="59"/>
    </row>
    <row r="586">
      <c r="C586" s="59"/>
    </row>
    <row r="587">
      <c r="C587" s="59"/>
    </row>
    <row r="588">
      <c r="C588" s="59"/>
    </row>
    <row r="589">
      <c r="C589" s="59"/>
    </row>
    <row r="590">
      <c r="C590" s="59"/>
    </row>
    <row r="591">
      <c r="C591" s="59"/>
    </row>
    <row r="592">
      <c r="C592" s="59"/>
    </row>
    <row r="593">
      <c r="C593" s="59"/>
    </row>
    <row r="594">
      <c r="C594" s="59"/>
    </row>
    <row r="595">
      <c r="C595" s="59"/>
    </row>
    <row r="596">
      <c r="C596" s="59"/>
    </row>
    <row r="597">
      <c r="C597" s="59"/>
    </row>
    <row r="598">
      <c r="C598" s="59"/>
    </row>
    <row r="599">
      <c r="C599" s="59"/>
    </row>
    <row r="600">
      <c r="C600" s="59"/>
    </row>
    <row r="601">
      <c r="C601" s="59"/>
    </row>
    <row r="602">
      <c r="C602" s="59"/>
    </row>
    <row r="603">
      <c r="C603" s="59"/>
    </row>
    <row r="604">
      <c r="C604" s="59"/>
    </row>
    <row r="605">
      <c r="C605" s="59"/>
    </row>
    <row r="606">
      <c r="C606" s="59"/>
    </row>
    <row r="607">
      <c r="C607" s="59"/>
    </row>
    <row r="608">
      <c r="C608" s="59"/>
    </row>
    <row r="609">
      <c r="C609" s="59"/>
    </row>
    <row r="610">
      <c r="C610" s="59"/>
    </row>
    <row r="611">
      <c r="C611" s="59"/>
    </row>
    <row r="612">
      <c r="C612" s="59"/>
    </row>
    <row r="613">
      <c r="C613" s="59"/>
    </row>
    <row r="614">
      <c r="C614" s="59"/>
    </row>
    <row r="615">
      <c r="C615" s="59"/>
    </row>
    <row r="616">
      <c r="C616" s="59"/>
    </row>
    <row r="617">
      <c r="C617" s="59"/>
    </row>
    <row r="618">
      <c r="C618" s="59"/>
    </row>
    <row r="619">
      <c r="C619" s="59"/>
    </row>
    <row r="620">
      <c r="C620" s="59"/>
    </row>
    <row r="621">
      <c r="C621" s="59"/>
    </row>
    <row r="622">
      <c r="C622" s="59"/>
    </row>
    <row r="623">
      <c r="C623" s="59"/>
    </row>
    <row r="624">
      <c r="C624" s="59"/>
    </row>
    <row r="625">
      <c r="C625" s="59"/>
    </row>
    <row r="626">
      <c r="C626" s="59"/>
    </row>
    <row r="627">
      <c r="C627" s="59"/>
    </row>
    <row r="628">
      <c r="C628" s="59"/>
    </row>
    <row r="629">
      <c r="C629" s="59"/>
    </row>
    <row r="630">
      <c r="C630" s="59"/>
    </row>
    <row r="631">
      <c r="C631" s="59"/>
    </row>
    <row r="632">
      <c r="C632" s="59"/>
    </row>
    <row r="633">
      <c r="C633" s="59"/>
    </row>
    <row r="634">
      <c r="C634" s="59"/>
    </row>
    <row r="635">
      <c r="C635" s="59"/>
    </row>
    <row r="636">
      <c r="C636" s="59"/>
    </row>
    <row r="637">
      <c r="C637" s="59"/>
    </row>
    <row r="638">
      <c r="C638" s="59"/>
    </row>
    <row r="639">
      <c r="C639" s="59"/>
    </row>
    <row r="640">
      <c r="C640" s="59"/>
    </row>
    <row r="641">
      <c r="C641" s="59"/>
    </row>
    <row r="642">
      <c r="C642" s="59"/>
    </row>
    <row r="643">
      <c r="C643" s="59"/>
    </row>
    <row r="644">
      <c r="C644" s="59"/>
    </row>
    <row r="645">
      <c r="C645" s="59"/>
    </row>
    <row r="646">
      <c r="C646" s="59"/>
    </row>
    <row r="647">
      <c r="C647" s="59"/>
    </row>
    <row r="648">
      <c r="C648" s="59"/>
    </row>
    <row r="649">
      <c r="C649" s="59"/>
    </row>
    <row r="650">
      <c r="C650" s="59"/>
    </row>
    <row r="651">
      <c r="C651" s="59"/>
    </row>
    <row r="652">
      <c r="C652" s="59"/>
    </row>
    <row r="653">
      <c r="C653" s="59"/>
    </row>
    <row r="654">
      <c r="C654" s="59"/>
    </row>
    <row r="655">
      <c r="C655" s="59"/>
    </row>
    <row r="656">
      <c r="C656" s="59"/>
    </row>
    <row r="657">
      <c r="C657" s="59"/>
    </row>
    <row r="658">
      <c r="C658" s="59"/>
    </row>
    <row r="659">
      <c r="C659" s="59"/>
    </row>
    <row r="660">
      <c r="C660" s="59"/>
    </row>
    <row r="661">
      <c r="C661" s="59"/>
    </row>
    <row r="662">
      <c r="C662" s="59"/>
    </row>
    <row r="663">
      <c r="C663" s="59"/>
    </row>
    <row r="664">
      <c r="C664" s="59"/>
    </row>
    <row r="665">
      <c r="C665" s="59"/>
    </row>
    <row r="666">
      <c r="C666" s="59"/>
    </row>
    <row r="667">
      <c r="C667" s="59"/>
    </row>
    <row r="668">
      <c r="C668" s="59"/>
    </row>
    <row r="669">
      <c r="C669" s="59"/>
    </row>
    <row r="670">
      <c r="C670" s="59"/>
    </row>
    <row r="671">
      <c r="C671" s="59"/>
    </row>
    <row r="672">
      <c r="C672" s="59"/>
    </row>
    <row r="673">
      <c r="C673" s="59"/>
    </row>
    <row r="674">
      <c r="C674" s="59"/>
    </row>
    <row r="675">
      <c r="C675" s="59"/>
    </row>
    <row r="676">
      <c r="C676" s="59"/>
    </row>
    <row r="677">
      <c r="C677" s="59"/>
    </row>
    <row r="678">
      <c r="C678" s="59"/>
    </row>
    <row r="679">
      <c r="C679" s="59"/>
    </row>
    <row r="680">
      <c r="C680" s="59"/>
    </row>
    <row r="681">
      <c r="C681" s="59"/>
    </row>
    <row r="682">
      <c r="C682" s="59"/>
    </row>
    <row r="683">
      <c r="C683" s="59"/>
    </row>
    <row r="684">
      <c r="C684" s="59"/>
    </row>
    <row r="685">
      <c r="C685" s="59"/>
    </row>
    <row r="686">
      <c r="C686" s="59"/>
    </row>
    <row r="687">
      <c r="C687" s="59"/>
    </row>
    <row r="688">
      <c r="C688" s="59"/>
    </row>
    <row r="689">
      <c r="C689" s="59"/>
    </row>
    <row r="690">
      <c r="C690" s="59"/>
    </row>
    <row r="691">
      <c r="C691" s="59"/>
    </row>
    <row r="692">
      <c r="C692" s="59"/>
    </row>
    <row r="693">
      <c r="C693" s="59"/>
    </row>
    <row r="694">
      <c r="C694" s="59"/>
    </row>
    <row r="695">
      <c r="C695" s="59"/>
    </row>
    <row r="696">
      <c r="C696" s="59"/>
    </row>
    <row r="697">
      <c r="C697" s="59"/>
    </row>
    <row r="698">
      <c r="C698" s="59"/>
    </row>
    <row r="699">
      <c r="C699" s="59"/>
    </row>
    <row r="700">
      <c r="C700" s="59"/>
    </row>
    <row r="701">
      <c r="C701" s="59"/>
    </row>
    <row r="702">
      <c r="C702" s="59"/>
    </row>
    <row r="703">
      <c r="C703" s="59"/>
    </row>
    <row r="704">
      <c r="C704" s="59"/>
    </row>
    <row r="705">
      <c r="C705" s="59"/>
    </row>
    <row r="706">
      <c r="C706" s="59"/>
    </row>
    <row r="707">
      <c r="C707" s="59"/>
    </row>
    <row r="708">
      <c r="C708" s="59"/>
    </row>
    <row r="709">
      <c r="C709" s="59"/>
    </row>
    <row r="710">
      <c r="C710" s="59"/>
    </row>
    <row r="711">
      <c r="C711" s="59"/>
    </row>
    <row r="712">
      <c r="C712" s="59"/>
    </row>
    <row r="713">
      <c r="C713" s="59"/>
    </row>
    <row r="714">
      <c r="C714" s="59"/>
    </row>
    <row r="715">
      <c r="C715" s="59"/>
    </row>
    <row r="716">
      <c r="C716" s="59"/>
    </row>
    <row r="717">
      <c r="C717" s="59"/>
    </row>
    <row r="718">
      <c r="C718" s="59"/>
    </row>
    <row r="719">
      <c r="C719" s="59"/>
    </row>
    <row r="720">
      <c r="C720" s="59"/>
    </row>
    <row r="721">
      <c r="C721" s="59"/>
    </row>
    <row r="722">
      <c r="C722" s="59"/>
    </row>
    <row r="723">
      <c r="C723" s="59"/>
    </row>
    <row r="724">
      <c r="C724" s="59"/>
    </row>
    <row r="725">
      <c r="C725" s="59"/>
    </row>
    <row r="726">
      <c r="C726" s="59"/>
    </row>
    <row r="727">
      <c r="C727" s="59"/>
    </row>
    <row r="728">
      <c r="C728" s="59"/>
    </row>
    <row r="729">
      <c r="C729" s="59"/>
    </row>
    <row r="730">
      <c r="C730" s="59"/>
    </row>
    <row r="731">
      <c r="C731" s="59"/>
    </row>
    <row r="732">
      <c r="C732" s="59"/>
    </row>
    <row r="733">
      <c r="C733" s="59"/>
    </row>
    <row r="734">
      <c r="C734" s="59"/>
    </row>
    <row r="735">
      <c r="C735" s="59"/>
    </row>
    <row r="736">
      <c r="C736" s="59"/>
    </row>
    <row r="737">
      <c r="C737" s="59"/>
    </row>
    <row r="738">
      <c r="C738" s="59"/>
    </row>
    <row r="739">
      <c r="C739" s="59"/>
    </row>
    <row r="740">
      <c r="C740" s="59"/>
    </row>
    <row r="741">
      <c r="C741" s="59"/>
    </row>
    <row r="742">
      <c r="C742" s="59"/>
    </row>
    <row r="743">
      <c r="C743" s="59"/>
    </row>
    <row r="744">
      <c r="C744" s="59"/>
    </row>
    <row r="745">
      <c r="C745" s="59"/>
    </row>
    <row r="746">
      <c r="C746" s="59"/>
    </row>
    <row r="747">
      <c r="C747" s="59"/>
    </row>
    <row r="748">
      <c r="C748" s="59"/>
    </row>
    <row r="749">
      <c r="C749" s="59"/>
    </row>
    <row r="750">
      <c r="C750" s="59"/>
    </row>
    <row r="751">
      <c r="C751" s="59"/>
    </row>
    <row r="752">
      <c r="C752" s="59"/>
    </row>
    <row r="753">
      <c r="C753" s="59"/>
    </row>
    <row r="754">
      <c r="C754" s="59"/>
    </row>
    <row r="755">
      <c r="C755" s="59"/>
    </row>
    <row r="756">
      <c r="C756" s="59"/>
    </row>
    <row r="757">
      <c r="C757" s="59"/>
    </row>
    <row r="758">
      <c r="C758" s="59"/>
    </row>
    <row r="759">
      <c r="C759" s="59"/>
    </row>
    <row r="760">
      <c r="C760" s="59"/>
    </row>
    <row r="761">
      <c r="C761" s="59"/>
    </row>
    <row r="762">
      <c r="C762" s="59"/>
    </row>
    <row r="763">
      <c r="C763" s="59"/>
    </row>
    <row r="764">
      <c r="C764" s="59"/>
    </row>
    <row r="765">
      <c r="C765" s="59"/>
    </row>
    <row r="766">
      <c r="C766" s="59"/>
    </row>
    <row r="767">
      <c r="C767" s="59"/>
    </row>
    <row r="768">
      <c r="C768" s="59"/>
    </row>
    <row r="769">
      <c r="C769" s="59"/>
    </row>
    <row r="770">
      <c r="C770" s="59"/>
    </row>
    <row r="771">
      <c r="C771" s="59"/>
    </row>
    <row r="772">
      <c r="C772" s="59"/>
    </row>
    <row r="773">
      <c r="C773" s="59"/>
    </row>
    <row r="774">
      <c r="C774" s="59"/>
    </row>
    <row r="775">
      <c r="C775" s="59"/>
    </row>
    <row r="776">
      <c r="C776" s="59"/>
    </row>
    <row r="777">
      <c r="C777" s="59"/>
    </row>
    <row r="778">
      <c r="C778" s="59"/>
    </row>
    <row r="779">
      <c r="C779" s="59"/>
    </row>
    <row r="780">
      <c r="C780" s="59"/>
    </row>
    <row r="781">
      <c r="C781" s="59"/>
    </row>
    <row r="782">
      <c r="C782" s="59"/>
    </row>
    <row r="783">
      <c r="C783" s="59"/>
    </row>
    <row r="784">
      <c r="C784" s="59"/>
    </row>
    <row r="785">
      <c r="C785" s="59"/>
    </row>
    <row r="786">
      <c r="C786" s="59"/>
    </row>
    <row r="787">
      <c r="C787" s="59"/>
    </row>
    <row r="788">
      <c r="C788" s="59"/>
    </row>
    <row r="789">
      <c r="C789" s="59"/>
    </row>
    <row r="790">
      <c r="C790" s="59"/>
    </row>
    <row r="791">
      <c r="C791" s="59"/>
    </row>
    <row r="792">
      <c r="C792" s="59"/>
    </row>
    <row r="793">
      <c r="C793" s="59"/>
    </row>
    <row r="794">
      <c r="C794" s="59"/>
    </row>
    <row r="795">
      <c r="C795" s="59"/>
    </row>
    <row r="796">
      <c r="C796" s="59"/>
    </row>
    <row r="797">
      <c r="C797" s="59"/>
    </row>
    <row r="798">
      <c r="C798" s="59"/>
    </row>
    <row r="799">
      <c r="C799" s="59"/>
    </row>
    <row r="800">
      <c r="C800" s="59"/>
    </row>
    <row r="801">
      <c r="C801" s="59"/>
    </row>
    <row r="802">
      <c r="C802" s="59"/>
    </row>
    <row r="803">
      <c r="C803" s="59"/>
    </row>
    <row r="804">
      <c r="C804" s="59"/>
    </row>
    <row r="805">
      <c r="C805" s="59"/>
    </row>
    <row r="806">
      <c r="C806" s="59"/>
    </row>
    <row r="807">
      <c r="C807" s="59"/>
    </row>
    <row r="808">
      <c r="C808" s="59"/>
    </row>
    <row r="809">
      <c r="C809" s="59"/>
    </row>
    <row r="810">
      <c r="C810" s="59"/>
    </row>
    <row r="811">
      <c r="C811" s="59"/>
    </row>
    <row r="812">
      <c r="C812" s="59"/>
    </row>
    <row r="813">
      <c r="C813" s="59"/>
    </row>
    <row r="814">
      <c r="C814" s="59"/>
    </row>
    <row r="815">
      <c r="C815" s="59"/>
    </row>
    <row r="816">
      <c r="C816" s="59"/>
    </row>
    <row r="817">
      <c r="C817" s="59"/>
    </row>
    <row r="818">
      <c r="C818" s="59"/>
    </row>
    <row r="819">
      <c r="C819" s="59"/>
    </row>
    <row r="820">
      <c r="C820" s="59"/>
    </row>
    <row r="821">
      <c r="C821" s="59"/>
    </row>
    <row r="822">
      <c r="C822" s="59"/>
    </row>
    <row r="823">
      <c r="C823" s="59"/>
    </row>
    <row r="824">
      <c r="C824" s="59"/>
    </row>
    <row r="825">
      <c r="C825" s="59"/>
    </row>
    <row r="826">
      <c r="C826" s="59"/>
    </row>
    <row r="827">
      <c r="C827" s="59"/>
    </row>
    <row r="828">
      <c r="C828" s="59"/>
    </row>
    <row r="829">
      <c r="C829" s="59"/>
    </row>
    <row r="830">
      <c r="C830" s="59"/>
    </row>
    <row r="831">
      <c r="C831" s="59"/>
    </row>
    <row r="832">
      <c r="C832" s="59"/>
    </row>
    <row r="833">
      <c r="C833" s="59"/>
    </row>
    <row r="834">
      <c r="C834" s="59"/>
    </row>
    <row r="835">
      <c r="C835" s="59"/>
    </row>
    <row r="836">
      <c r="C836" s="59"/>
    </row>
    <row r="837">
      <c r="C837" s="59"/>
    </row>
    <row r="838">
      <c r="C838" s="59"/>
    </row>
    <row r="839">
      <c r="C839" s="59"/>
    </row>
    <row r="840">
      <c r="C840" s="59"/>
    </row>
    <row r="841">
      <c r="C841" s="59"/>
    </row>
    <row r="842">
      <c r="C842" s="59"/>
    </row>
    <row r="843">
      <c r="C843" s="59"/>
    </row>
    <row r="844">
      <c r="C844" s="59"/>
    </row>
    <row r="845">
      <c r="C845" s="59"/>
    </row>
    <row r="846">
      <c r="C846" s="59"/>
    </row>
    <row r="847">
      <c r="C847" s="59"/>
    </row>
    <row r="848">
      <c r="C848" s="59"/>
    </row>
    <row r="849">
      <c r="C849" s="59"/>
    </row>
    <row r="850">
      <c r="C850" s="59"/>
    </row>
    <row r="851">
      <c r="C851" s="59"/>
    </row>
    <row r="852">
      <c r="C852" s="59"/>
    </row>
    <row r="853">
      <c r="C853" s="59"/>
    </row>
    <row r="854">
      <c r="C854" s="59"/>
    </row>
    <row r="855">
      <c r="C855" s="59"/>
    </row>
    <row r="856">
      <c r="C856" s="59"/>
    </row>
    <row r="857">
      <c r="C857" s="59"/>
    </row>
    <row r="858">
      <c r="C858" s="59"/>
    </row>
    <row r="859">
      <c r="C859" s="59"/>
    </row>
    <row r="860">
      <c r="C860" s="59"/>
    </row>
    <row r="861">
      <c r="C861" s="59"/>
    </row>
    <row r="862">
      <c r="C862" s="59"/>
    </row>
    <row r="863">
      <c r="C863" s="59"/>
    </row>
    <row r="864">
      <c r="C864" s="59"/>
    </row>
    <row r="865">
      <c r="C865" s="59"/>
    </row>
    <row r="866">
      <c r="C866" s="59"/>
    </row>
    <row r="867">
      <c r="C867" s="59"/>
    </row>
    <row r="868">
      <c r="C868" s="59"/>
    </row>
    <row r="869">
      <c r="C869" s="59"/>
    </row>
    <row r="870">
      <c r="C870" s="59"/>
    </row>
    <row r="871">
      <c r="C871" s="59"/>
    </row>
    <row r="872">
      <c r="C872" s="59"/>
    </row>
    <row r="873">
      <c r="C873" s="59"/>
    </row>
    <row r="874">
      <c r="C874" s="59"/>
    </row>
    <row r="875">
      <c r="C875" s="59"/>
    </row>
    <row r="876">
      <c r="C876" s="59"/>
    </row>
    <row r="877">
      <c r="C877" s="59"/>
    </row>
    <row r="878">
      <c r="C878" s="59"/>
    </row>
    <row r="879">
      <c r="C879" s="59"/>
    </row>
    <row r="880">
      <c r="C880" s="59"/>
    </row>
    <row r="881">
      <c r="C881" s="59"/>
    </row>
    <row r="882">
      <c r="C882" s="59"/>
    </row>
    <row r="883">
      <c r="C883" s="59"/>
    </row>
    <row r="884">
      <c r="C884" s="59"/>
    </row>
    <row r="885">
      <c r="C885" s="59"/>
    </row>
    <row r="886">
      <c r="C886" s="59"/>
    </row>
    <row r="887">
      <c r="C887" s="59"/>
    </row>
    <row r="888">
      <c r="C888" s="59"/>
    </row>
    <row r="889">
      <c r="C889" s="59"/>
    </row>
    <row r="890">
      <c r="C890" s="59"/>
    </row>
    <row r="891">
      <c r="C891" s="59"/>
    </row>
    <row r="892">
      <c r="C892" s="59"/>
    </row>
    <row r="893">
      <c r="C893" s="59"/>
    </row>
    <row r="894">
      <c r="C894" s="59"/>
    </row>
    <row r="895">
      <c r="C895" s="59"/>
    </row>
    <row r="896">
      <c r="C896" s="59"/>
    </row>
    <row r="897">
      <c r="C897" s="59"/>
    </row>
    <row r="898">
      <c r="C898" s="59"/>
    </row>
    <row r="899">
      <c r="C899" s="59"/>
    </row>
    <row r="900">
      <c r="C900" s="59"/>
    </row>
    <row r="901">
      <c r="C901" s="59"/>
    </row>
    <row r="902">
      <c r="C902" s="59"/>
    </row>
    <row r="903">
      <c r="C903" s="59"/>
    </row>
    <row r="904">
      <c r="C904" s="59"/>
    </row>
    <row r="905">
      <c r="C905" s="59"/>
    </row>
    <row r="906">
      <c r="C906" s="59"/>
    </row>
    <row r="907">
      <c r="C907" s="59"/>
    </row>
    <row r="908">
      <c r="C908" s="59"/>
    </row>
    <row r="909">
      <c r="C909" s="59"/>
    </row>
    <row r="910">
      <c r="C910" s="59"/>
    </row>
    <row r="911">
      <c r="C911" s="59"/>
    </row>
    <row r="912">
      <c r="C912" s="59"/>
    </row>
    <row r="913">
      <c r="C913" s="59"/>
    </row>
    <row r="914">
      <c r="C914" s="59"/>
    </row>
    <row r="915">
      <c r="C915" s="59"/>
    </row>
    <row r="916">
      <c r="C916" s="59"/>
    </row>
    <row r="917">
      <c r="C917" s="59"/>
    </row>
    <row r="918">
      <c r="C918" s="59"/>
    </row>
    <row r="919">
      <c r="C919" s="59"/>
    </row>
    <row r="920">
      <c r="C920" s="59"/>
    </row>
    <row r="921">
      <c r="C921" s="59"/>
    </row>
    <row r="922">
      <c r="C922" s="59"/>
    </row>
    <row r="923">
      <c r="C923" s="59"/>
    </row>
    <row r="924">
      <c r="C924" s="59"/>
    </row>
    <row r="925">
      <c r="C925" s="59"/>
    </row>
    <row r="926">
      <c r="C926" s="59"/>
    </row>
    <row r="927">
      <c r="C927" s="59"/>
    </row>
    <row r="928">
      <c r="C928" s="59"/>
    </row>
    <row r="929">
      <c r="C929" s="59"/>
    </row>
    <row r="930">
      <c r="C930" s="59"/>
    </row>
    <row r="931">
      <c r="C931" s="59"/>
    </row>
    <row r="932">
      <c r="C932" s="59"/>
    </row>
    <row r="933">
      <c r="C933" s="59"/>
    </row>
    <row r="934">
      <c r="C934" s="59"/>
    </row>
    <row r="935">
      <c r="C935" s="59"/>
    </row>
    <row r="936">
      <c r="C936" s="59"/>
    </row>
    <row r="937">
      <c r="C937" s="59"/>
    </row>
    <row r="938">
      <c r="C938" s="59"/>
    </row>
    <row r="939">
      <c r="C939" s="59"/>
    </row>
    <row r="940">
      <c r="C940" s="59"/>
    </row>
    <row r="941">
      <c r="C941" s="59"/>
    </row>
    <row r="942">
      <c r="C942" s="59"/>
    </row>
    <row r="943">
      <c r="C943" s="59"/>
    </row>
    <row r="944">
      <c r="C944" s="59"/>
    </row>
    <row r="945">
      <c r="C945" s="59"/>
    </row>
    <row r="946">
      <c r="C946" s="59"/>
    </row>
    <row r="947">
      <c r="C947" s="59"/>
    </row>
    <row r="948">
      <c r="C948" s="59"/>
    </row>
    <row r="949">
      <c r="C949" s="59"/>
    </row>
    <row r="950">
      <c r="C950" s="59"/>
    </row>
    <row r="951">
      <c r="C951" s="59"/>
    </row>
    <row r="952">
      <c r="C952" s="59"/>
    </row>
    <row r="953">
      <c r="C953" s="59"/>
    </row>
    <row r="954">
      <c r="C954" s="59"/>
    </row>
    <row r="955">
      <c r="C955" s="59"/>
    </row>
    <row r="956">
      <c r="C956" s="59"/>
    </row>
    <row r="957">
      <c r="C957" s="59"/>
    </row>
    <row r="958">
      <c r="C958" s="59"/>
    </row>
    <row r="959">
      <c r="C959" s="59"/>
    </row>
    <row r="960">
      <c r="C960" s="59"/>
    </row>
    <row r="961">
      <c r="C961" s="59"/>
    </row>
    <row r="962">
      <c r="C962" s="59"/>
    </row>
    <row r="963">
      <c r="C963" s="59"/>
    </row>
    <row r="964">
      <c r="C964" s="59"/>
    </row>
    <row r="965">
      <c r="C965" s="59"/>
    </row>
    <row r="966">
      <c r="C966" s="59"/>
    </row>
    <row r="967">
      <c r="C967" s="59"/>
    </row>
    <row r="968">
      <c r="C968" s="59"/>
    </row>
    <row r="969">
      <c r="C969" s="59"/>
    </row>
    <row r="970">
      <c r="C970" s="59"/>
    </row>
  </sheetData>
  <mergeCells count="14">
    <mergeCell ref="D3:E3"/>
    <mergeCell ref="C35:F35"/>
    <mergeCell ref="H35:J35"/>
    <mergeCell ref="M35:N35"/>
    <mergeCell ref="O35:Q35"/>
    <mergeCell ref="M37:N37"/>
    <mergeCell ref="O37:Q37"/>
    <mergeCell ref="B1:D1"/>
    <mergeCell ref="E1:G1"/>
    <mergeCell ref="H1:I1"/>
    <mergeCell ref="J1:K1"/>
    <mergeCell ref="M1:N1"/>
    <mergeCell ref="O1:Q1"/>
    <mergeCell ref="F3:G3"/>
  </mergeCell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11.0"/>
    <col customWidth="1" min="4" max="4" width="9.63"/>
    <col customWidth="1" min="5" max="5" width="6.63"/>
    <col customWidth="1" min="6" max="6" width="7.63"/>
    <col customWidth="1" min="7" max="7" width="4.75"/>
    <col customWidth="1" min="8" max="8" width="17.13"/>
    <col customWidth="1" min="10" max="10" width="11.63"/>
    <col customWidth="1" min="11" max="11" width="12.13"/>
    <col customWidth="1" min="12" max="12" width="15.88"/>
    <col customWidth="1" min="13" max="13" width="21.13"/>
    <col customWidth="1" min="14" max="14" width="16.88"/>
    <col customWidth="1" min="15" max="15" width="23.13"/>
    <col customWidth="1" min="16" max="16" width="10.38"/>
    <col customWidth="1" min="17" max="17" width="10.13"/>
  </cols>
  <sheetData>
    <row r="1">
      <c r="A1" s="174"/>
      <c r="B1" s="175">
        <v>44865.0</v>
      </c>
      <c r="C1" s="4"/>
      <c r="D1" s="4"/>
      <c r="E1" s="176" t="s">
        <v>0</v>
      </c>
      <c r="H1" s="177" t="s">
        <v>1</v>
      </c>
      <c r="I1" s="4"/>
      <c r="J1" s="176" t="s">
        <v>2</v>
      </c>
      <c r="L1" s="178"/>
      <c r="M1" s="179" t="s">
        <v>3</v>
      </c>
      <c r="N1" s="4"/>
      <c r="O1" s="176" t="s">
        <v>4</v>
      </c>
      <c r="R1" s="104"/>
      <c r="S1" s="180"/>
    </row>
    <row r="2">
      <c r="A2" s="100"/>
      <c r="B2" s="100"/>
      <c r="C2" s="100"/>
      <c r="D2" s="100"/>
      <c r="E2" s="100"/>
      <c r="F2" s="100"/>
      <c r="G2" s="100"/>
      <c r="H2" s="100"/>
      <c r="I2" s="101"/>
      <c r="J2" s="100"/>
      <c r="K2" s="102"/>
      <c r="L2" s="103"/>
      <c r="M2" s="100"/>
      <c r="N2" s="100"/>
      <c r="O2" s="100"/>
      <c r="P2" s="100"/>
      <c r="Q2" s="100"/>
      <c r="R2" s="104"/>
      <c r="S2" s="102"/>
    </row>
    <row r="3">
      <c r="A3" s="181" t="s">
        <v>5</v>
      </c>
      <c r="B3" s="182" t="s">
        <v>7</v>
      </c>
      <c r="C3" s="182" t="s">
        <v>8</v>
      </c>
      <c r="D3" s="183" t="s">
        <v>212</v>
      </c>
      <c r="E3" s="26"/>
      <c r="F3" s="184" t="s">
        <v>213</v>
      </c>
      <c r="G3" s="26"/>
      <c r="H3" s="182" t="s">
        <v>11</v>
      </c>
      <c r="I3" s="185" t="s">
        <v>12</v>
      </c>
      <c r="J3" s="182" t="s">
        <v>13</v>
      </c>
      <c r="K3" s="186" t="s">
        <v>214</v>
      </c>
      <c r="L3" s="187" t="s">
        <v>15</v>
      </c>
      <c r="M3" s="188" t="s">
        <v>215</v>
      </c>
      <c r="N3" s="182" t="s">
        <v>216</v>
      </c>
      <c r="O3" s="188" t="s">
        <v>18</v>
      </c>
      <c r="P3" s="182" t="s">
        <v>217</v>
      </c>
      <c r="Q3" s="182" t="s">
        <v>20</v>
      </c>
      <c r="R3" s="189"/>
      <c r="S3" s="190" t="s">
        <v>21</v>
      </c>
      <c r="U3" s="191" t="s">
        <v>22</v>
      </c>
      <c r="V3" s="192" t="s">
        <v>23</v>
      </c>
      <c r="W3" s="104"/>
      <c r="X3" s="104"/>
    </row>
    <row r="4">
      <c r="A4" s="193" t="s">
        <v>25</v>
      </c>
      <c r="B4" s="194" t="s">
        <v>27</v>
      </c>
      <c r="C4" s="194" t="s">
        <v>28</v>
      </c>
      <c r="D4" s="194" t="s">
        <v>218</v>
      </c>
      <c r="E4" s="194" t="s">
        <v>219</v>
      </c>
      <c r="F4" s="194" t="s">
        <v>218</v>
      </c>
      <c r="G4" s="194" t="s">
        <v>219</v>
      </c>
      <c r="H4" s="194" t="s">
        <v>31</v>
      </c>
      <c r="I4" s="195" t="s">
        <v>32</v>
      </c>
      <c r="J4" s="196">
        <v>1994.0</v>
      </c>
      <c r="K4" s="197">
        <v>29758.0</v>
      </c>
      <c r="L4" s="119" t="s">
        <v>33</v>
      </c>
      <c r="M4" s="198" t="s">
        <v>34</v>
      </c>
      <c r="N4" s="194" t="s">
        <v>35</v>
      </c>
      <c r="O4" s="198" t="s">
        <v>36</v>
      </c>
      <c r="P4" s="199">
        <v>85855.0</v>
      </c>
      <c r="Q4" s="194">
        <v>1.0</v>
      </c>
      <c r="R4" s="200"/>
      <c r="S4" s="201">
        <v>45382.0</v>
      </c>
      <c r="U4" s="202">
        <f t="shared" ref="U4:U32" si="1">(S4-K4)/365</f>
        <v>42.80547945</v>
      </c>
      <c r="V4" s="203">
        <f t="shared" ref="V4:V32" si="2">(TODAY()-K4)/365</f>
        <v>45.09589041</v>
      </c>
      <c r="W4" s="189"/>
      <c r="X4" s="104"/>
    </row>
    <row r="5">
      <c r="A5" s="193" t="s">
        <v>25</v>
      </c>
      <c r="B5" s="194" t="s">
        <v>27</v>
      </c>
      <c r="C5" s="194" t="s">
        <v>28</v>
      </c>
      <c r="D5" s="194" t="s">
        <v>218</v>
      </c>
      <c r="E5" s="194" t="s">
        <v>219</v>
      </c>
      <c r="F5" s="194" t="s">
        <v>218</v>
      </c>
      <c r="G5" s="194" t="s">
        <v>219</v>
      </c>
      <c r="H5" s="194" t="s">
        <v>31</v>
      </c>
      <c r="I5" s="195" t="s">
        <v>208</v>
      </c>
      <c r="J5" s="194" t="s">
        <v>42</v>
      </c>
      <c r="K5" s="204">
        <v>25114.0</v>
      </c>
      <c r="L5" s="119" t="s">
        <v>209</v>
      </c>
      <c r="M5" s="198" t="s">
        <v>210</v>
      </c>
      <c r="N5" s="194" t="s">
        <v>56</v>
      </c>
      <c r="O5" s="198" t="s">
        <v>211</v>
      </c>
      <c r="P5" s="199">
        <v>699652.0</v>
      </c>
      <c r="Q5" s="194">
        <f t="shared" ref="Q5:Q32" si="3">Q4+1</f>
        <v>2</v>
      </c>
      <c r="R5" s="200"/>
      <c r="S5" s="201">
        <v>45382.0</v>
      </c>
      <c r="U5" s="202">
        <f t="shared" si="1"/>
        <v>55.52876712</v>
      </c>
      <c r="V5" s="203">
        <f t="shared" si="2"/>
        <v>57.81917808</v>
      </c>
      <c r="W5" s="104"/>
      <c r="X5" s="104"/>
    </row>
    <row r="6">
      <c r="A6" s="193" t="s">
        <v>25</v>
      </c>
      <c r="B6" s="194" t="s">
        <v>47</v>
      </c>
      <c r="C6" s="194" t="s">
        <v>220</v>
      </c>
      <c r="D6" s="194" t="s">
        <v>40</v>
      </c>
      <c r="E6" s="194" t="s">
        <v>219</v>
      </c>
      <c r="F6" s="194" t="s">
        <v>218</v>
      </c>
      <c r="G6" s="194" t="s">
        <v>219</v>
      </c>
      <c r="H6" s="194" t="s">
        <v>41</v>
      </c>
      <c r="I6" s="205">
        <v>0.0</v>
      </c>
      <c r="J6" s="194" t="s">
        <v>42</v>
      </c>
      <c r="K6" s="197">
        <v>29102.0</v>
      </c>
      <c r="L6" s="119" t="s">
        <v>127</v>
      </c>
      <c r="M6" s="198" t="s">
        <v>128</v>
      </c>
      <c r="N6" s="194" t="s">
        <v>35</v>
      </c>
      <c r="O6" s="198" t="s">
        <v>129</v>
      </c>
      <c r="P6" s="194">
        <v>697263.0</v>
      </c>
      <c r="Q6" s="194">
        <f t="shared" si="3"/>
        <v>3</v>
      </c>
      <c r="R6" s="200"/>
      <c r="S6" s="201">
        <v>45382.0</v>
      </c>
      <c r="U6" s="202">
        <f t="shared" si="1"/>
        <v>44.60273973</v>
      </c>
      <c r="V6" s="203">
        <f t="shared" si="2"/>
        <v>46.89315068</v>
      </c>
      <c r="W6" s="189"/>
      <c r="X6" s="104"/>
    </row>
    <row r="7">
      <c r="A7" s="193" t="s">
        <v>25</v>
      </c>
      <c r="B7" s="194" t="s">
        <v>53</v>
      </c>
      <c r="C7" s="206" t="s">
        <v>221</v>
      </c>
      <c r="D7" s="194" t="s">
        <v>218</v>
      </c>
      <c r="E7" s="194" t="s">
        <v>219</v>
      </c>
      <c r="F7" s="194" t="s">
        <v>218</v>
      </c>
      <c r="G7" s="194" t="s">
        <v>219</v>
      </c>
      <c r="H7" s="194" t="s">
        <v>131</v>
      </c>
      <c r="I7" s="195" t="s">
        <v>132</v>
      </c>
      <c r="J7" s="194" t="s">
        <v>42</v>
      </c>
      <c r="K7" s="204">
        <v>17036.0</v>
      </c>
      <c r="L7" s="119" t="s">
        <v>133</v>
      </c>
      <c r="M7" s="198" t="s">
        <v>134</v>
      </c>
      <c r="N7" s="194" t="s">
        <v>56</v>
      </c>
      <c r="O7" s="198" t="s">
        <v>128</v>
      </c>
      <c r="P7" s="194">
        <v>633202.0</v>
      </c>
      <c r="Q7" s="194">
        <f t="shared" si="3"/>
        <v>4</v>
      </c>
      <c r="R7" s="200"/>
      <c r="S7" s="201">
        <v>45382.0</v>
      </c>
      <c r="U7" s="202">
        <f t="shared" si="1"/>
        <v>77.66027397</v>
      </c>
      <c r="V7" s="203">
        <f t="shared" si="2"/>
        <v>79.95068493</v>
      </c>
      <c r="W7" s="104"/>
      <c r="X7" s="104"/>
    </row>
    <row r="8">
      <c r="A8" s="193" t="s">
        <v>37</v>
      </c>
      <c r="B8" s="194" t="s">
        <v>75</v>
      </c>
      <c r="C8" s="194" t="s">
        <v>221</v>
      </c>
      <c r="D8" s="194" t="s">
        <v>40</v>
      </c>
      <c r="E8" s="194" t="s">
        <v>219</v>
      </c>
      <c r="F8" s="194" t="s">
        <v>218</v>
      </c>
      <c r="G8" s="194" t="s">
        <v>219</v>
      </c>
      <c r="H8" s="194" t="s">
        <v>48</v>
      </c>
      <c r="I8" s="205">
        <v>0.0</v>
      </c>
      <c r="J8" s="194" t="s">
        <v>42</v>
      </c>
      <c r="K8" s="204">
        <v>19489.0</v>
      </c>
      <c r="L8" s="119" t="s">
        <v>136</v>
      </c>
      <c r="M8" s="198" t="s">
        <v>137</v>
      </c>
      <c r="N8" s="194" t="s">
        <v>56</v>
      </c>
      <c r="O8" s="198" t="s">
        <v>138</v>
      </c>
      <c r="P8" s="194">
        <v>690594.0</v>
      </c>
      <c r="Q8" s="194">
        <f t="shared" si="3"/>
        <v>5</v>
      </c>
      <c r="R8" s="207"/>
      <c r="S8" s="201">
        <v>45382.0</v>
      </c>
      <c r="U8" s="202">
        <f t="shared" si="1"/>
        <v>70.93972603</v>
      </c>
      <c r="V8" s="203">
        <f t="shared" si="2"/>
        <v>73.23013699</v>
      </c>
      <c r="W8" s="104"/>
      <c r="X8" s="104"/>
    </row>
    <row r="9">
      <c r="A9" s="193" t="s">
        <v>37</v>
      </c>
      <c r="B9" s="194" t="s">
        <v>27</v>
      </c>
      <c r="C9" s="194" t="s">
        <v>220</v>
      </c>
      <c r="D9" s="194" t="s">
        <v>40</v>
      </c>
      <c r="E9" s="194" t="s">
        <v>219</v>
      </c>
      <c r="F9" s="194" t="s">
        <v>218</v>
      </c>
      <c r="G9" s="194" t="s">
        <v>219</v>
      </c>
      <c r="H9" s="194" t="s">
        <v>41</v>
      </c>
      <c r="I9" s="205">
        <v>0.0</v>
      </c>
      <c r="J9" s="194" t="s">
        <v>42</v>
      </c>
      <c r="K9" s="197">
        <v>26511.0</v>
      </c>
      <c r="L9" s="119" t="s">
        <v>43</v>
      </c>
      <c r="M9" s="198" t="s">
        <v>44</v>
      </c>
      <c r="N9" s="194" t="s">
        <v>35</v>
      </c>
      <c r="O9" s="198" t="s">
        <v>45</v>
      </c>
      <c r="P9" s="194">
        <v>629409.0</v>
      </c>
      <c r="Q9" s="194">
        <f t="shared" si="3"/>
        <v>6</v>
      </c>
      <c r="R9" s="207"/>
      <c r="S9" s="201">
        <v>45382.0</v>
      </c>
      <c r="U9" s="202">
        <f t="shared" si="1"/>
        <v>51.70136986</v>
      </c>
      <c r="V9" s="203">
        <f t="shared" si="2"/>
        <v>53.99178082</v>
      </c>
      <c r="W9" s="189"/>
      <c r="X9" s="104"/>
    </row>
    <row r="10">
      <c r="A10" s="193" t="s">
        <v>37</v>
      </c>
      <c r="B10" s="194" t="s">
        <v>47</v>
      </c>
      <c r="C10" s="194" t="s">
        <v>220</v>
      </c>
      <c r="D10" s="194" t="s">
        <v>40</v>
      </c>
      <c r="E10" s="194" t="s">
        <v>219</v>
      </c>
      <c r="F10" s="194" t="s">
        <v>218</v>
      </c>
      <c r="G10" s="194" t="s">
        <v>219</v>
      </c>
      <c r="H10" s="194" t="s">
        <v>48</v>
      </c>
      <c r="I10" s="205">
        <v>0.0</v>
      </c>
      <c r="J10" s="194" t="s">
        <v>42</v>
      </c>
      <c r="K10" s="204">
        <v>27595.0</v>
      </c>
      <c r="L10" s="119" t="s">
        <v>49</v>
      </c>
      <c r="M10" s="198" t="s">
        <v>50</v>
      </c>
      <c r="N10" s="194" t="s">
        <v>35</v>
      </c>
      <c r="O10" s="198" t="s">
        <v>51</v>
      </c>
      <c r="P10" s="194">
        <v>691771.0</v>
      </c>
      <c r="Q10" s="194">
        <f t="shared" si="3"/>
        <v>7</v>
      </c>
      <c r="R10" s="207"/>
      <c r="S10" s="201">
        <v>45382.0</v>
      </c>
      <c r="U10" s="202">
        <f t="shared" si="1"/>
        <v>48.73150685</v>
      </c>
      <c r="V10" s="203">
        <f t="shared" si="2"/>
        <v>51.02191781</v>
      </c>
      <c r="W10" s="189"/>
      <c r="X10" s="104"/>
    </row>
    <row r="11">
      <c r="A11" s="193" t="s">
        <v>25</v>
      </c>
      <c r="B11" s="194" t="s">
        <v>53</v>
      </c>
      <c r="C11" s="194" t="s">
        <v>140</v>
      </c>
      <c r="D11" s="194" t="s">
        <v>40</v>
      </c>
      <c r="E11" s="194" t="s">
        <v>219</v>
      </c>
      <c r="F11" s="194" t="s">
        <v>218</v>
      </c>
      <c r="G11" s="194" t="s">
        <v>219</v>
      </c>
      <c r="H11" s="194" t="s">
        <v>48</v>
      </c>
      <c r="I11" s="195" t="s">
        <v>141</v>
      </c>
      <c r="J11" s="194" t="s">
        <v>42</v>
      </c>
      <c r="K11" s="204">
        <v>21596.0</v>
      </c>
      <c r="L11" s="119" t="s">
        <v>142</v>
      </c>
      <c r="M11" s="198" t="s">
        <v>143</v>
      </c>
      <c r="N11" s="194" t="s">
        <v>56</v>
      </c>
      <c r="O11" s="198" t="s">
        <v>204</v>
      </c>
      <c r="P11" s="194">
        <v>600898.0</v>
      </c>
      <c r="Q11" s="194">
        <f t="shared" si="3"/>
        <v>8</v>
      </c>
      <c r="R11" s="200"/>
      <c r="S11" s="201">
        <v>45382.0</v>
      </c>
      <c r="U11" s="202">
        <f t="shared" si="1"/>
        <v>65.16712329</v>
      </c>
      <c r="V11" s="203">
        <f t="shared" si="2"/>
        <v>67.45753425</v>
      </c>
      <c r="W11" s="104"/>
      <c r="X11" s="104"/>
    </row>
    <row r="12">
      <c r="A12" s="193" t="s">
        <v>25</v>
      </c>
      <c r="B12" s="194" t="s">
        <v>53</v>
      </c>
      <c r="C12" s="194" t="s">
        <v>221</v>
      </c>
      <c r="D12" s="194" t="s">
        <v>218</v>
      </c>
      <c r="E12" s="194" t="s">
        <v>219</v>
      </c>
      <c r="F12" s="194" t="s">
        <v>218</v>
      </c>
      <c r="G12" s="194" t="s">
        <v>219</v>
      </c>
      <c r="H12" s="194" t="s">
        <v>31</v>
      </c>
      <c r="I12" s="208"/>
      <c r="J12" s="194" t="s">
        <v>42</v>
      </c>
      <c r="K12" s="204">
        <v>12965.0</v>
      </c>
      <c r="L12" s="131"/>
      <c r="M12" s="198" t="s">
        <v>147</v>
      </c>
      <c r="N12" s="194" t="s">
        <v>56</v>
      </c>
      <c r="O12" s="198" t="s">
        <v>148</v>
      </c>
      <c r="P12" s="194">
        <v>626871.0</v>
      </c>
      <c r="Q12" s="194">
        <f t="shared" si="3"/>
        <v>9</v>
      </c>
      <c r="R12" s="207"/>
      <c r="S12" s="201">
        <v>45382.0</v>
      </c>
      <c r="U12" s="202">
        <f t="shared" si="1"/>
        <v>88.81369863</v>
      </c>
      <c r="V12" s="203">
        <f t="shared" si="2"/>
        <v>91.10410959</v>
      </c>
      <c r="W12" s="104"/>
      <c r="X12" s="104"/>
    </row>
    <row r="13">
      <c r="A13" s="193" t="s">
        <v>25</v>
      </c>
      <c r="B13" s="194" t="s">
        <v>53</v>
      </c>
      <c r="C13" s="206" t="s">
        <v>221</v>
      </c>
      <c r="D13" s="194" t="s">
        <v>40</v>
      </c>
      <c r="E13" s="194" t="s">
        <v>219</v>
      </c>
      <c r="F13" s="194" t="s">
        <v>218</v>
      </c>
      <c r="G13" s="194" t="s">
        <v>219</v>
      </c>
      <c r="H13" s="194" t="s">
        <v>41</v>
      </c>
      <c r="I13" s="208"/>
      <c r="J13" s="194" t="s">
        <v>42</v>
      </c>
      <c r="K13" s="204">
        <v>17434.0</v>
      </c>
      <c r="L13" s="131"/>
      <c r="M13" s="198" t="s">
        <v>55</v>
      </c>
      <c r="N13" s="194" t="s">
        <v>56</v>
      </c>
      <c r="O13" s="198" t="s">
        <v>50</v>
      </c>
      <c r="P13" s="196">
        <v>600790.0</v>
      </c>
      <c r="Q13" s="194">
        <f t="shared" si="3"/>
        <v>10</v>
      </c>
      <c r="R13" s="207"/>
      <c r="S13" s="201">
        <v>45382.0</v>
      </c>
      <c r="U13" s="202">
        <f t="shared" si="1"/>
        <v>76.56986301</v>
      </c>
      <c r="V13" s="203">
        <f t="shared" si="2"/>
        <v>78.86027397</v>
      </c>
      <c r="W13" s="104"/>
      <c r="X13" s="104"/>
    </row>
    <row r="14">
      <c r="A14" s="193" t="s">
        <v>25</v>
      </c>
      <c r="B14" s="194" t="s">
        <v>53</v>
      </c>
      <c r="C14" s="194" t="s">
        <v>220</v>
      </c>
      <c r="D14" s="194" t="s">
        <v>40</v>
      </c>
      <c r="E14" s="194" t="s">
        <v>219</v>
      </c>
      <c r="F14" s="194" t="s">
        <v>218</v>
      </c>
      <c r="G14" s="194" t="s">
        <v>219</v>
      </c>
      <c r="H14" s="194" t="s">
        <v>41</v>
      </c>
      <c r="I14" s="209" t="s">
        <v>150</v>
      </c>
      <c r="J14" s="194" t="s">
        <v>42</v>
      </c>
      <c r="K14" s="197">
        <v>26988.0</v>
      </c>
      <c r="L14" s="119" t="s">
        <v>151</v>
      </c>
      <c r="M14" s="198" t="s">
        <v>148</v>
      </c>
      <c r="N14" s="194" t="s">
        <v>35</v>
      </c>
      <c r="O14" s="198" t="s">
        <v>152</v>
      </c>
      <c r="P14" s="194">
        <v>629430.0</v>
      </c>
      <c r="Q14" s="194">
        <f t="shared" si="3"/>
        <v>11</v>
      </c>
      <c r="R14" s="200"/>
      <c r="S14" s="201">
        <v>45382.0</v>
      </c>
      <c r="U14" s="202">
        <f t="shared" si="1"/>
        <v>50.39452055</v>
      </c>
      <c r="V14" s="203">
        <f t="shared" si="2"/>
        <v>52.68493151</v>
      </c>
      <c r="W14" s="189"/>
      <c r="X14" s="104"/>
    </row>
    <row r="15">
      <c r="A15" s="193" t="s">
        <v>25</v>
      </c>
      <c r="B15" s="210"/>
      <c r="C15" s="194" t="s">
        <v>140</v>
      </c>
      <c r="D15" s="194" t="s">
        <v>40</v>
      </c>
      <c r="E15" s="194" t="s">
        <v>219</v>
      </c>
      <c r="F15" s="194" t="s">
        <v>218</v>
      </c>
      <c r="G15" s="194" t="s">
        <v>219</v>
      </c>
      <c r="H15" s="194" t="s">
        <v>154</v>
      </c>
      <c r="I15" s="211" t="s">
        <v>155</v>
      </c>
      <c r="J15" s="194" t="s">
        <v>42</v>
      </c>
      <c r="K15" s="197">
        <v>29319.0</v>
      </c>
      <c r="L15" s="119" t="s">
        <v>156</v>
      </c>
      <c r="M15" s="198" t="s">
        <v>157</v>
      </c>
      <c r="N15" s="194" t="s">
        <v>35</v>
      </c>
      <c r="O15" s="198" t="s">
        <v>158</v>
      </c>
      <c r="P15" s="194">
        <v>73236.0</v>
      </c>
      <c r="Q15" s="194">
        <f t="shared" si="3"/>
        <v>12</v>
      </c>
      <c r="R15" s="200"/>
      <c r="S15" s="201">
        <v>45382.0</v>
      </c>
      <c r="U15" s="202">
        <f t="shared" si="1"/>
        <v>44.00821918</v>
      </c>
      <c r="V15" s="203">
        <f t="shared" si="2"/>
        <v>46.29863014</v>
      </c>
      <c r="W15" s="189"/>
      <c r="X15" s="104"/>
    </row>
    <row r="16">
      <c r="A16" s="193" t="s">
        <v>25</v>
      </c>
      <c r="B16" s="194" t="s">
        <v>53</v>
      </c>
      <c r="C16" s="194" t="s">
        <v>221</v>
      </c>
      <c r="D16" s="194" t="s">
        <v>40</v>
      </c>
      <c r="E16" s="194" t="s">
        <v>219</v>
      </c>
      <c r="F16" s="194" t="s">
        <v>218</v>
      </c>
      <c r="G16" s="194" t="s">
        <v>219</v>
      </c>
      <c r="H16" s="194" t="s">
        <v>48</v>
      </c>
      <c r="I16" s="208"/>
      <c r="J16" s="194" t="s">
        <v>42</v>
      </c>
      <c r="K16" s="204">
        <v>23484.0</v>
      </c>
      <c r="L16" s="119" t="s">
        <v>205</v>
      </c>
      <c r="M16" s="198" t="s">
        <v>206</v>
      </c>
      <c r="N16" s="194" t="s">
        <v>56</v>
      </c>
      <c r="O16" s="198" t="s">
        <v>207</v>
      </c>
      <c r="P16" s="194">
        <v>629439.0</v>
      </c>
      <c r="Q16" s="194">
        <f t="shared" si="3"/>
        <v>13</v>
      </c>
      <c r="R16" s="207"/>
      <c r="S16" s="201">
        <v>45382.0</v>
      </c>
      <c r="U16" s="202">
        <f t="shared" si="1"/>
        <v>59.99452055</v>
      </c>
      <c r="V16" s="203">
        <f t="shared" si="2"/>
        <v>62.28493151</v>
      </c>
      <c r="W16" s="104"/>
      <c r="X16" s="104"/>
    </row>
    <row r="17">
      <c r="A17" s="193" t="s">
        <v>25</v>
      </c>
      <c r="B17" s="194" t="s">
        <v>75</v>
      </c>
      <c r="C17" s="194" t="s">
        <v>220</v>
      </c>
      <c r="D17" s="194" t="s">
        <v>40</v>
      </c>
      <c r="E17" s="194" t="s">
        <v>219</v>
      </c>
      <c r="F17" s="194" t="s">
        <v>218</v>
      </c>
      <c r="G17" s="194" t="s">
        <v>219</v>
      </c>
      <c r="H17" s="194" t="s">
        <v>41</v>
      </c>
      <c r="I17" s="208"/>
      <c r="J17" s="194" t="s">
        <v>42</v>
      </c>
      <c r="K17" s="197">
        <v>29895.0</v>
      </c>
      <c r="L17" s="119" t="s">
        <v>160</v>
      </c>
      <c r="M17" s="198" t="s">
        <v>161</v>
      </c>
      <c r="N17" s="194" t="s">
        <v>35</v>
      </c>
      <c r="O17" s="198" t="s">
        <v>162</v>
      </c>
      <c r="P17" s="194">
        <v>698781.0</v>
      </c>
      <c r="Q17" s="194">
        <f t="shared" si="3"/>
        <v>14</v>
      </c>
      <c r="R17" s="207"/>
      <c r="S17" s="201">
        <v>45382.0</v>
      </c>
      <c r="U17" s="202">
        <f t="shared" si="1"/>
        <v>42.43013699</v>
      </c>
      <c r="V17" s="203">
        <f t="shared" si="2"/>
        <v>44.72054795</v>
      </c>
      <c r="W17" s="189"/>
      <c r="X17" s="104"/>
    </row>
    <row r="18">
      <c r="A18" s="193" t="s">
        <v>25</v>
      </c>
      <c r="B18" s="194" t="s">
        <v>27</v>
      </c>
      <c r="C18" s="206" t="s">
        <v>221</v>
      </c>
      <c r="D18" s="194" t="s">
        <v>40</v>
      </c>
      <c r="E18" s="194" t="s">
        <v>219</v>
      </c>
      <c r="F18" s="194" t="s">
        <v>218</v>
      </c>
      <c r="G18" s="194" t="s">
        <v>219</v>
      </c>
      <c r="H18" s="194" t="s">
        <v>48</v>
      </c>
      <c r="I18" s="195" t="s">
        <v>164</v>
      </c>
      <c r="J18" s="194" t="s">
        <v>42</v>
      </c>
      <c r="K18" s="197">
        <v>21551.0</v>
      </c>
      <c r="L18" s="119" t="s">
        <v>165</v>
      </c>
      <c r="M18" s="198" t="s">
        <v>80</v>
      </c>
      <c r="N18" s="194" t="s">
        <v>56</v>
      </c>
      <c r="O18" s="198" t="s">
        <v>166</v>
      </c>
      <c r="P18" s="194">
        <v>697260.0</v>
      </c>
      <c r="Q18" s="194">
        <f t="shared" si="3"/>
        <v>15</v>
      </c>
      <c r="R18" s="200"/>
      <c r="S18" s="201">
        <v>45382.0</v>
      </c>
      <c r="U18" s="202">
        <f t="shared" si="1"/>
        <v>65.29041096</v>
      </c>
      <c r="V18" s="203">
        <f t="shared" si="2"/>
        <v>67.58082192</v>
      </c>
      <c r="W18" s="104"/>
      <c r="X18" s="104"/>
    </row>
    <row r="19">
      <c r="A19" s="193" t="s">
        <v>25</v>
      </c>
      <c r="B19" s="194" t="s">
        <v>27</v>
      </c>
      <c r="C19" s="206" t="s">
        <v>221</v>
      </c>
      <c r="D19" s="194" t="s">
        <v>40</v>
      </c>
      <c r="E19" s="194" t="s">
        <v>219</v>
      </c>
      <c r="F19" s="194" t="s">
        <v>218</v>
      </c>
      <c r="G19" s="194" t="s">
        <v>219</v>
      </c>
      <c r="H19" s="212" t="s">
        <v>58</v>
      </c>
      <c r="I19" s="208"/>
      <c r="J19" s="194" t="s">
        <v>42</v>
      </c>
      <c r="K19" s="204">
        <v>20261.0</v>
      </c>
      <c r="L19" s="119" t="s">
        <v>59</v>
      </c>
      <c r="M19" s="198" t="s">
        <v>60</v>
      </c>
      <c r="N19" s="194" t="s">
        <v>56</v>
      </c>
      <c r="O19" s="198" t="s">
        <v>61</v>
      </c>
      <c r="P19" s="194">
        <v>696347.0</v>
      </c>
      <c r="Q19" s="194">
        <f t="shared" si="3"/>
        <v>16</v>
      </c>
      <c r="R19" s="207"/>
      <c r="S19" s="201">
        <v>45382.0</v>
      </c>
      <c r="U19" s="202">
        <f t="shared" si="1"/>
        <v>68.82465753</v>
      </c>
      <c r="V19" s="203">
        <f t="shared" si="2"/>
        <v>71.11506849</v>
      </c>
      <c r="W19" s="104"/>
      <c r="X19" s="104"/>
    </row>
    <row r="20">
      <c r="A20" s="193" t="s">
        <v>25</v>
      </c>
      <c r="B20" s="196" t="s">
        <v>168</v>
      </c>
      <c r="C20" s="194" t="s">
        <v>220</v>
      </c>
      <c r="D20" s="194" t="s">
        <v>40</v>
      </c>
      <c r="E20" s="194" t="s">
        <v>219</v>
      </c>
      <c r="F20" s="194" t="s">
        <v>218</v>
      </c>
      <c r="G20" s="194" t="s">
        <v>219</v>
      </c>
      <c r="H20" s="194" t="s">
        <v>41</v>
      </c>
      <c r="I20" s="208"/>
      <c r="J20" s="194" t="s">
        <v>42</v>
      </c>
      <c r="K20" s="204">
        <v>27784.0</v>
      </c>
      <c r="L20" s="119" t="s">
        <v>169</v>
      </c>
      <c r="M20" s="198" t="s">
        <v>170</v>
      </c>
      <c r="N20" s="194" t="s">
        <v>35</v>
      </c>
      <c r="O20" s="198" t="s">
        <v>171</v>
      </c>
      <c r="P20" s="194">
        <v>697262.0</v>
      </c>
      <c r="Q20" s="194">
        <f t="shared" si="3"/>
        <v>17</v>
      </c>
      <c r="R20" s="207"/>
      <c r="S20" s="201">
        <v>45382.0</v>
      </c>
      <c r="U20" s="202">
        <f t="shared" si="1"/>
        <v>48.21369863</v>
      </c>
      <c r="V20" s="203">
        <f t="shared" si="2"/>
        <v>50.50410959</v>
      </c>
      <c r="W20" s="189"/>
      <c r="X20" s="104"/>
    </row>
    <row r="21">
      <c r="A21" s="193" t="s">
        <v>25</v>
      </c>
      <c r="B21" s="194" t="s">
        <v>53</v>
      </c>
      <c r="C21" s="194" t="s">
        <v>221</v>
      </c>
      <c r="D21" s="194" t="s">
        <v>40</v>
      </c>
      <c r="E21" s="194" t="s">
        <v>219</v>
      </c>
      <c r="F21" s="194" t="s">
        <v>218</v>
      </c>
      <c r="G21" s="194" t="s">
        <v>219</v>
      </c>
      <c r="H21" s="194" t="s">
        <v>63</v>
      </c>
      <c r="I21" s="195" t="s">
        <v>64</v>
      </c>
      <c r="J21" s="194" t="s">
        <v>42</v>
      </c>
      <c r="K21" s="204">
        <v>19786.0</v>
      </c>
      <c r="L21" s="119" t="s">
        <v>65</v>
      </c>
      <c r="M21" s="198" t="s">
        <v>66</v>
      </c>
      <c r="N21" s="194" t="s">
        <v>56</v>
      </c>
      <c r="O21" s="198" t="s">
        <v>67</v>
      </c>
      <c r="P21" s="194">
        <v>633185.0</v>
      </c>
      <c r="Q21" s="194">
        <f t="shared" si="3"/>
        <v>18</v>
      </c>
      <c r="R21" s="200"/>
      <c r="S21" s="201">
        <v>45382.0</v>
      </c>
      <c r="U21" s="202">
        <f t="shared" si="1"/>
        <v>70.1260274</v>
      </c>
      <c r="V21" s="203">
        <f t="shared" si="2"/>
        <v>72.41643836</v>
      </c>
      <c r="W21" s="104"/>
      <c r="X21" s="104"/>
    </row>
    <row r="22">
      <c r="A22" s="193" t="s">
        <v>25</v>
      </c>
      <c r="B22" s="194" t="s">
        <v>69</v>
      </c>
      <c r="C22" s="194" t="s">
        <v>220</v>
      </c>
      <c r="D22" s="194" t="s">
        <v>40</v>
      </c>
      <c r="E22" s="194" t="s">
        <v>219</v>
      </c>
      <c r="F22" s="194" t="s">
        <v>218</v>
      </c>
      <c r="G22" s="194" t="s">
        <v>219</v>
      </c>
      <c r="H22" s="194" t="s">
        <v>48</v>
      </c>
      <c r="I22" s="208"/>
      <c r="J22" s="194" t="s">
        <v>42</v>
      </c>
      <c r="K22" s="204">
        <v>23531.0</v>
      </c>
      <c r="L22" s="119" t="s">
        <v>71</v>
      </c>
      <c r="M22" s="198" t="s">
        <v>72</v>
      </c>
      <c r="N22" s="194" t="s">
        <v>56</v>
      </c>
      <c r="O22" s="198" t="s">
        <v>73</v>
      </c>
      <c r="P22" s="194">
        <v>626887.0</v>
      </c>
      <c r="Q22" s="194">
        <f t="shared" si="3"/>
        <v>19</v>
      </c>
      <c r="R22" s="200"/>
      <c r="S22" s="201">
        <v>45382.0</v>
      </c>
      <c r="U22" s="202">
        <f t="shared" si="1"/>
        <v>59.86575342</v>
      </c>
      <c r="V22" s="203">
        <f t="shared" si="2"/>
        <v>62.15616438</v>
      </c>
      <c r="W22" s="104"/>
      <c r="X22" s="104"/>
    </row>
    <row r="23">
      <c r="A23" s="193" t="s">
        <v>25</v>
      </c>
      <c r="B23" s="194" t="s">
        <v>27</v>
      </c>
      <c r="C23" s="194" t="s">
        <v>221</v>
      </c>
      <c r="D23" s="194" t="s">
        <v>40</v>
      </c>
      <c r="E23" s="194" t="s">
        <v>219</v>
      </c>
      <c r="F23" s="194" t="s">
        <v>218</v>
      </c>
      <c r="G23" s="194" t="s">
        <v>219</v>
      </c>
      <c r="H23" s="194" t="s">
        <v>48</v>
      </c>
      <c r="I23" s="208"/>
      <c r="J23" s="194" t="s">
        <v>42</v>
      </c>
      <c r="K23" s="197">
        <v>19299.0</v>
      </c>
      <c r="L23" s="119" t="s">
        <v>173</v>
      </c>
      <c r="M23" s="198" t="s">
        <v>174</v>
      </c>
      <c r="N23" s="194" t="s">
        <v>56</v>
      </c>
      <c r="O23" s="198" t="s">
        <v>175</v>
      </c>
      <c r="P23" s="194">
        <v>629414.0</v>
      </c>
      <c r="Q23" s="194">
        <f t="shared" si="3"/>
        <v>20</v>
      </c>
      <c r="R23" s="207"/>
      <c r="S23" s="201">
        <v>45382.0</v>
      </c>
      <c r="U23" s="202">
        <f t="shared" si="1"/>
        <v>71.46027397</v>
      </c>
      <c r="V23" s="203">
        <f t="shared" si="2"/>
        <v>73.75068493</v>
      </c>
      <c r="W23" s="104"/>
      <c r="X23" s="104"/>
    </row>
    <row r="24">
      <c r="A24" s="193" t="s">
        <v>25</v>
      </c>
      <c r="B24" s="194" t="s">
        <v>47</v>
      </c>
      <c r="C24" s="194" t="s">
        <v>220</v>
      </c>
      <c r="D24" s="194" t="s">
        <v>218</v>
      </c>
      <c r="E24" s="194" t="s">
        <v>219</v>
      </c>
      <c r="F24" s="194" t="s">
        <v>218</v>
      </c>
      <c r="G24" s="194" t="s">
        <v>219</v>
      </c>
      <c r="H24" s="194" t="s">
        <v>63</v>
      </c>
      <c r="I24" s="211" t="s">
        <v>177</v>
      </c>
      <c r="J24" s="194" t="s">
        <v>42</v>
      </c>
      <c r="K24" s="204">
        <v>22526.0</v>
      </c>
      <c r="L24" s="137" t="s">
        <v>178</v>
      </c>
      <c r="M24" s="198" t="s">
        <v>179</v>
      </c>
      <c r="N24" s="194" t="s">
        <v>56</v>
      </c>
      <c r="O24" s="198" t="s">
        <v>180</v>
      </c>
      <c r="P24" s="194">
        <v>626872.0</v>
      </c>
      <c r="Q24" s="194">
        <f t="shared" si="3"/>
        <v>21</v>
      </c>
      <c r="R24" s="200"/>
      <c r="S24" s="201">
        <v>45382.0</v>
      </c>
      <c r="U24" s="202">
        <f t="shared" si="1"/>
        <v>62.61917808</v>
      </c>
      <c r="V24" s="203">
        <f t="shared" si="2"/>
        <v>64.90958904</v>
      </c>
      <c r="W24" s="104"/>
      <c r="X24" s="104"/>
    </row>
    <row r="25">
      <c r="A25" s="213" t="s">
        <v>25</v>
      </c>
      <c r="B25" s="194" t="s">
        <v>27</v>
      </c>
      <c r="C25" s="214" t="s">
        <v>221</v>
      </c>
      <c r="D25" s="213" t="s">
        <v>40</v>
      </c>
      <c r="E25" s="213" t="s">
        <v>219</v>
      </c>
      <c r="F25" s="213" t="s">
        <v>218</v>
      </c>
      <c r="G25" s="213" t="s">
        <v>219</v>
      </c>
      <c r="H25" s="213" t="s">
        <v>48</v>
      </c>
      <c r="I25" s="215"/>
      <c r="J25" s="213" t="s">
        <v>42</v>
      </c>
      <c r="K25" s="216">
        <v>27546.0</v>
      </c>
      <c r="L25" s="137" t="s">
        <v>181</v>
      </c>
      <c r="M25" s="217" t="s">
        <v>182</v>
      </c>
      <c r="N25" s="213" t="s">
        <v>35</v>
      </c>
      <c r="O25" s="218" t="s">
        <v>183</v>
      </c>
      <c r="P25" s="213">
        <v>696346.0</v>
      </c>
      <c r="Q25" s="213">
        <f t="shared" si="3"/>
        <v>22</v>
      </c>
      <c r="R25" s="207"/>
      <c r="S25" s="201">
        <v>45382.0</v>
      </c>
      <c r="U25" s="202">
        <f t="shared" si="1"/>
        <v>48.86575342</v>
      </c>
      <c r="V25" s="203">
        <f t="shared" si="2"/>
        <v>51.15616438</v>
      </c>
      <c r="W25" s="189"/>
      <c r="X25" s="104"/>
    </row>
    <row r="26">
      <c r="A26" s="213" t="s">
        <v>25</v>
      </c>
      <c r="B26" s="219" t="s">
        <v>75</v>
      </c>
      <c r="C26" s="213" t="s">
        <v>140</v>
      </c>
      <c r="D26" s="213" t="s">
        <v>40</v>
      </c>
      <c r="E26" s="213" t="s">
        <v>219</v>
      </c>
      <c r="F26" s="213" t="s">
        <v>218</v>
      </c>
      <c r="G26" s="213" t="s">
        <v>219</v>
      </c>
      <c r="H26" s="213" t="s">
        <v>41</v>
      </c>
      <c r="I26" s="211" t="s">
        <v>77</v>
      </c>
      <c r="J26" s="213" t="s">
        <v>42</v>
      </c>
      <c r="K26" s="220">
        <v>30189.0</v>
      </c>
      <c r="L26" s="137" t="s">
        <v>78</v>
      </c>
      <c r="M26" s="217" t="s">
        <v>79</v>
      </c>
      <c r="N26" s="213" t="s">
        <v>35</v>
      </c>
      <c r="O26" s="218" t="s">
        <v>80</v>
      </c>
      <c r="P26" s="199">
        <v>699653.0</v>
      </c>
      <c r="Q26" s="213">
        <f t="shared" si="3"/>
        <v>23</v>
      </c>
      <c r="R26" s="200"/>
      <c r="S26" s="201">
        <v>45382.0</v>
      </c>
      <c r="U26" s="202">
        <f t="shared" si="1"/>
        <v>41.62465753</v>
      </c>
      <c r="V26" s="203">
        <f t="shared" si="2"/>
        <v>43.91506849</v>
      </c>
      <c r="W26" s="189"/>
      <c r="X26" s="104"/>
    </row>
    <row r="27">
      <c r="A27" s="213" t="s">
        <v>25</v>
      </c>
      <c r="B27" s="194" t="s">
        <v>27</v>
      </c>
      <c r="C27" s="194" t="s">
        <v>220</v>
      </c>
      <c r="D27" s="213" t="s">
        <v>40</v>
      </c>
      <c r="E27" s="213" t="s">
        <v>219</v>
      </c>
      <c r="F27" s="213" t="s">
        <v>218</v>
      </c>
      <c r="G27" s="213" t="s">
        <v>219</v>
      </c>
      <c r="H27" s="213" t="s">
        <v>41</v>
      </c>
      <c r="I27" s="215"/>
      <c r="J27" s="213" t="s">
        <v>42</v>
      </c>
      <c r="K27" s="216">
        <v>26665.0</v>
      </c>
      <c r="L27" s="145" t="s">
        <v>82</v>
      </c>
      <c r="M27" s="221" t="s">
        <v>83</v>
      </c>
      <c r="N27" s="213" t="s">
        <v>35</v>
      </c>
      <c r="O27" s="218" t="s">
        <v>84</v>
      </c>
      <c r="P27" s="219">
        <v>632609.0</v>
      </c>
      <c r="Q27" s="213">
        <f t="shared" si="3"/>
        <v>24</v>
      </c>
      <c r="R27" s="207"/>
      <c r="S27" s="201">
        <v>45382.0</v>
      </c>
      <c r="U27" s="202">
        <f t="shared" si="1"/>
        <v>51.27945205</v>
      </c>
      <c r="V27" s="203">
        <f t="shared" si="2"/>
        <v>53.56986301</v>
      </c>
      <c r="W27" s="189"/>
      <c r="X27" s="104"/>
    </row>
    <row r="28">
      <c r="A28" s="213" t="s">
        <v>25</v>
      </c>
      <c r="B28" s="194" t="s">
        <v>27</v>
      </c>
      <c r="C28" s="194" t="s">
        <v>220</v>
      </c>
      <c r="D28" s="213" t="s">
        <v>40</v>
      </c>
      <c r="E28" s="213" t="s">
        <v>219</v>
      </c>
      <c r="F28" s="213" t="s">
        <v>218</v>
      </c>
      <c r="G28" s="213" t="s">
        <v>219</v>
      </c>
      <c r="H28" s="213" t="s">
        <v>41</v>
      </c>
      <c r="I28" s="211" t="s">
        <v>185</v>
      </c>
      <c r="J28" s="213" t="s">
        <v>42</v>
      </c>
      <c r="K28" s="216">
        <v>26511.0</v>
      </c>
      <c r="L28" s="147" t="s">
        <v>186</v>
      </c>
      <c r="M28" s="222" t="s">
        <v>187</v>
      </c>
      <c r="N28" s="213" t="s">
        <v>35</v>
      </c>
      <c r="O28" s="223" t="s">
        <v>203</v>
      </c>
      <c r="P28" s="199">
        <v>626847.0</v>
      </c>
      <c r="Q28" s="213">
        <f t="shared" si="3"/>
        <v>25</v>
      </c>
      <c r="R28" s="200"/>
      <c r="S28" s="201">
        <v>45382.0</v>
      </c>
      <c r="U28" s="202">
        <f t="shared" si="1"/>
        <v>51.70136986</v>
      </c>
      <c r="V28" s="203">
        <f t="shared" si="2"/>
        <v>53.99178082</v>
      </c>
      <c r="W28" s="189"/>
      <c r="X28" s="104"/>
    </row>
    <row r="29">
      <c r="A29" s="213" t="s">
        <v>25</v>
      </c>
      <c r="B29" s="199" t="s">
        <v>53</v>
      </c>
      <c r="C29" s="213" t="s">
        <v>140</v>
      </c>
      <c r="D29" s="213" t="s">
        <v>40</v>
      </c>
      <c r="E29" s="213" t="s">
        <v>219</v>
      </c>
      <c r="F29" s="213" t="s">
        <v>218</v>
      </c>
      <c r="G29" s="213" t="s">
        <v>219</v>
      </c>
      <c r="H29" s="213" t="s">
        <v>31</v>
      </c>
      <c r="I29" s="211" t="s">
        <v>86</v>
      </c>
      <c r="J29" s="213" t="s">
        <v>42</v>
      </c>
      <c r="K29" s="216">
        <v>29543.0</v>
      </c>
      <c r="L29" s="137" t="s">
        <v>87</v>
      </c>
      <c r="M29" s="217" t="s">
        <v>88</v>
      </c>
      <c r="N29" s="213" t="s">
        <v>35</v>
      </c>
      <c r="O29" s="224" t="s">
        <v>89</v>
      </c>
      <c r="P29" s="199">
        <v>76290.0</v>
      </c>
      <c r="Q29" s="213">
        <f t="shared" si="3"/>
        <v>26</v>
      </c>
      <c r="R29" s="200"/>
      <c r="S29" s="201">
        <v>45382.0</v>
      </c>
      <c r="U29" s="202">
        <f t="shared" si="1"/>
        <v>43.39452055</v>
      </c>
      <c r="V29" s="203">
        <f t="shared" si="2"/>
        <v>45.68493151</v>
      </c>
      <c r="W29" s="104"/>
      <c r="X29" s="104"/>
    </row>
    <row r="30">
      <c r="A30" s="213" t="s">
        <v>25</v>
      </c>
      <c r="B30" s="199" t="s">
        <v>27</v>
      </c>
      <c r="C30" s="213" t="s">
        <v>140</v>
      </c>
      <c r="D30" s="213" t="s">
        <v>40</v>
      </c>
      <c r="E30" s="213" t="s">
        <v>219</v>
      </c>
      <c r="F30" s="213" t="s">
        <v>218</v>
      </c>
      <c r="G30" s="213" t="s">
        <v>219</v>
      </c>
      <c r="H30" s="194" t="s">
        <v>48</v>
      </c>
      <c r="I30" s="215"/>
      <c r="J30" s="213" t="s">
        <v>42</v>
      </c>
      <c r="K30" s="216">
        <v>25571.0</v>
      </c>
      <c r="L30" s="147" t="s">
        <v>190</v>
      </c>
      <c r="M30" s="222" t="s">
        <v>191</v>
      </c>
      <c r="N30" s="213" t="s">
        <v>35</v>
      </c>
      <c r="O30" s="224" t="s">
        <v>192</v>
      </c>
      <c r="P30" s="199">
        <v>700623.0</v>
      </c>
      <c r="Q30" s="213">
        <f t="shared" si="3"/>
        <v>27</v>
      </c>
      <c r="R30" s="207"/>
      <c r="S30" s="201">
        <v>45382.0</v>
      </c>
      <c r="U30" s="202">
        <f t="shared" si="1"/>
        <v>54.27671233</v>
      </c>
      <c r="V30" s="203">
        <f t="shared" si="2"/>
        <v>56.56712329</v>
      </c>
      <c r="W30" s="104"/>
      <c r="X30" s="104"/>
    </row>
    <row r="31">
      <c r="A31" s="213" t="s">
        <v>25</v>
      </c>
      <c r="B31" s="213" t="s">
        <v>47</v>
      </c>
      <c r="C31" s="213" t="s">
        <v>140</v>
      </c>
      <c r="D31" s="213" t="s">
        <v>40</v>
      </c>
      <c r="E31" s="213" t="s">
        <v>219</v>
      </c>
      <c r="F31" s="213" t="s">
        <v>218</v>
      </c>
      <c r="G31" s="213" t="s">
        <v>219</v>
      </c>
      <c r="H31" s="213" t="s">
        <v>31</v>
      </c>
      <c r="I31" s="225" t="s">
        <v>91</v>
      </c>
      <c r="J31" s="213" t="s">
        <v>42</v>
      </c>
      <c r="K31" s="216">
        <v>22937.0</v>
      </c>
      <c r="L31" s="147" t="s">
        <v>92</v>
      </c>
      <c r="M31" s="222" t="s">
        <v>93</v>
      </c>
      <c r="N31" s="213" t="s">
        <v>56</v>
      </c>
      <c r="O31" s="224" t="s">
        <v>94</v>
      </c>
      <c r="P31" s="219">
        <v>701872.0</v>
      </c>
      <c r="Q31" s="213">
        <f t="shared" si="3"/>
        <v>28</v>
      </c>
      <c r="R31" s="200"/>
      <c r="S31" s="201">
        <v>45382.0</v>
      </c>
      <c r="U31" s="202">
        <f t="shared" si="1"/>
        <v>61.49315068</v>
      </c>
      <c r="V31" s="203">
        <f t="shared" si="2"/>
        <v>63.78356164</v>
      </c>
      <c r="W31" s="104"/>
      <c r="X31" s="189">
        <v>13.0</v>
      </c>
    </row>
    <row r="32">
      <c r="A32" s="213" t="s">
        <v>25</v>
      </c>
      <c r="B32" s="213" t="s">
        <v>47</v>
      </c>
      <c r="C32" s="226" t="s">
        <v>115</v>
      </c>
      <c r="D32" s="227" t="s">
        <v>218</v>
      </c>
      <c r="E32" s="213" t="s">
        <v>219</v>
      </c>
      <c r="F32" s="213" t="s">
        <v>218</v>
      </c>
      <c r="G32" s="213" t="s">
        <v>219</v>
      </c>
      <c r="H32" s="219" t="s">
        <v>116</v>
      </c>
      <c r="I32" s="225" t="s">
        <v>117</v>
      </c>
      <c r="J32" s="213" t="s">
        <v>42</v>
      </c>
      <c r="K32" s="228">
        <v>28888.0</v>
      </c>
      <c r="L32" s="229" t="s">
        <v>118</v>
      </c>
      <c r="M32" s="230" t="s">
        <v>119</v>
      </c>
      <c r="N32" s="213" t="s">
        <v>35</v>
      </c>
      <c r="O32" s="224" t="s">
        <v>120</v>
      </c>
      <c r="P32" s="219">
        <v>696463.0</v>
      </c>
      <c r="Q32" s="213">
        <f t="shared" si="3"/>
        <v>29</v>
      </c>
      <c r="R32" s="200"/>
      <c r="S32" s="201">
        <v>45382.0</v>
      </c>
      <c r="U32" s="202">
        <f t="shared" si="1"/>
        <v>45.1890411</v>
      </c>
      <c r="V32" s="203">
        <f t="shared" si="2"/>
        <v>47.47945205</v>
      </c>
      <c r="W32" s="104"/>
      <c r="X32" s="189">
        <v>13.0</v>
      </c>
    </row>
    <row r="33">
      <c r="A33" s="174"/>
      <c r="B33" s="174"/>
      <c r="C33" s="174"/>
      <c r="D33" s="174"/>
      <c r="E33" s="174"/>
      <c r="F33" s="174"/>
      <c r="G33" s="174"/>
      <c r="H33" s="174"/>
      <c r="I33" s="231"/>
      <c r="J33" s="174"/>
      <c r="K33" s="180"/>
      <c r="L33" s="103"/>
      <c r="M33" s="174"/>
      <c r="N33" s="174"/>
      <c r="O33" s="174"/>
      <c r="P33" s="174"/>
      <c r="Q33" s="174"/>
      <c r="R33" s="104"/>
      <c r="S33" s="180"/>
    </row>
    <row r="34">
      <c r="A34" s="174"/>
      <c r="B34" s="174"/>
      <c r="C34" s="174"/>
      <c r="D34" s="174"/>
      <c r="E34" s="174"/>
      <c r="F34" s="174"/>
      <c r="G34" s="174"/>
      <c r="H34" s="174"/>
      <c r="I34" s="231"/>
      <c r="J34" s="174"/>
      <c r="K34" s="180"/>
      <c r="L34" s="103"/>
      <c r="M34" s="174"/>
      <c r="N34" s="174"/>
      <c r="O34" s="174"/>
      <c r="P34" s="174"/>
      <c r="Q34" s="174"/>
      <c r="R34" s="104"/>
      <c r="S34" s="180"/>
    </row>
    <row r="35">
      <c r="A35" s="174"/>
      <c r="B35" s="174"/>
      <c r="C35" s="232"/>
      <c r="D35" s="25"/>
      <c r="E35" s="25"/>
      <c r="F35" s="25"/>
      <c r="G35" s="174"/>
      <c r="H35" s="233" t="s">
        <v>200</v>
      </c>
      <c r="K35" s="180"/>
      <c r="L35" s="173"/>
      <c r="M35" s="232"/>
      <c r="N35" s="25"/>
      <c r="O35" s="233" t="s">
        <v>201</v>
      </c>
      <c r="R35" s="104"/>
      <c r="S35" s="180"/>
    </row>
    <row r="36">
      <c r="A36" s="174"/>
      <c r="B36" s="174"/>
      <c r="C36" s="174"/>
      <c r="D36" s="174"/>
      <c r="E36" s="174"/>
      <c r="F36" s="174"/>
      <c r="G36" s="174"/>
      <c r="H36" s="174"/>
      <c r="I36" s="174"/>
      <c r="J36" s="174"/>
      <c r="K36" s="180"/>
      <c r="L36" s="103"/>
      <c r="M36" s="174"/>
      <c r="N36" s="174"/>
      <c r="O36" s="174"/>
      <c r="P36" s="174"/>
      <c r="Q36" s="174"/>
      <c r="R36" s="104"/>
      <c r="S36" s="180"/>
    </row>
    <row r="37">
      <c r="A37" s="174"/>
      <c r="B37" s="174"/>
      <c r="C37" s="174"/>
      <c r="D37" s="174"/>
      <c r="E37" s="174"/>
      <c r="F37" s="174"/>
      <c r="G37" s="174"/>
      <c r="H37" s="174"/>
      <c r="I37" s="231"/>
      <c r="J37" s="174"/>
      <c r="K37" s="180"/>
      <c r="L37" s="234"/>
      <c r="M37" s="235">
        <v>44865.0</v>
      </c>
      <c r="N37" s="25"/>
      <c r="O37" s="236" t="s">
        <v>202</v>
      </c>
      <c r="R37" s="104"/>
      <c r="S37" s="180"/>
    </row>
    <row r="38">
      <c r="L38" s="173"/>
    </row>
    <row r="39">
      <c r="L39" s="173"/>
    </row>
    <row r="40">
      <c r="L40" s="173"/>
    </row>
    <row r="41">
      <c r="L41" s="173"/>
    </row>
    <row r="42">
      <c r="L42" s="173"/>
    </row>
    <row r="43">
      <c r="L43" s="173"/>
    </row>
    <row r="44">
      <c r="L44" s="173"/>
    </row>
    <row r="45">
      <c r="L45" s="173"/>
    </row>
    <row r="46">
      <c r="L46" s="173"/>
    </row>
    <row r="47">
      <c r="L47" s="173"/>
    </row>
    <row r="48">
      <c r="L48" s="173"/>
    </row>
    <row r="49">
      <c r="L49" s="173"/>
    </row>
    <row r="50">
      <c r="L50" s="173"/>
    </row>
    <row r="51">
      <c r="L51" s="173"/>
    </row>
    <row r="52">
      <c r="L52" s="173"/>
    </row>
    <row r="53">
      <c r="L53" s="173"/>
    </row>
    <row r="54">
      <c r="L54" s="173"/>
    </row>
    <row r="55">
      <c r="L55" s="173"/>
    </row>
    <row r="56">
      <c r="L56" s="173"/>
    </row>
    <row r="57">
      <c r="L57" s="173"/>
    </row>
    <row r="58">
      <c r="L58" s="173"/>
    </row>
    <row r="59">
      <c r="L59" s="173"/>
    </row>
    <row r="60">
      <c r="L60" s="173"/>
    </row>
    <row r="61">
      <c r="L61" s="173"/>
    </row>
    <row r="62">
      <c r="L62" s="173"/>
    </row>
    <row r="63">
      <c r="L63" s="173"/>
    </row>
    <row r="64">
      <c r="L64" s="173"/>
    </row>
    <row r="65">
      <c r="L65" s="173"/>
    </row>
    <row r="66">
      <c r="L66" s="173"/>
    </row>
    <row r="67">
      <c r="L67" s="173"/>
    </row>
    <row r="68">
      <c r="L68" s="173"/>
    </row>
    <row r="69">
      <c r="L69" s="173"/>
    </row>
    <row r="70">
      <c r="L70" s="173"/>
    </row>
    <row r="71">
      <c r="L71" s="173"/>
    </row>
    <row r="72">
      <c r="L72" s="173"/>
    </row>
    <row r="73">
      <c r="L73" s="173"/>
    </row>
    <row r="74">
      <c r="L74" s="173"/>
    </row>
    <row r="75">
      <c r="L75" s="173"/>
    </row>
    <row r="76">
      <c r="L76" s="173"/>
    </row>
    <row r="77">
      <c r="L77" s="173"/>
    </row>
    <row r="78">
      <c r="L78" s="173"/>
    </row>
    <row r="79">
      <c r="L79" s="173"/>
    </row>
    <row r="80">
      <c r="L80" s="173"/>
    </row>
    <row r="81">
      <c r="L81" s="173"/>
    </row>
    <row r="82">
      <c r="L82" s="173"/>
    </row>
    <row r="83">
      <c r="L83" s="173"/>
    </row>
    <row r="84">
      <c r="L84" s="173"/>
    </row>
    <row r="85">
      <c r="L85" s="173"/>
    </row>
    <row r="86">
      <c r="L86" s="173"/>
    </row>
    <row r="87">
      <c r="L87" s="173"/>
    </row>
    <row r="88">
      <c r="L88" s="173"/>
    </row>
    <row r="89">
      <c r="L89" s="173"/>
    </row>
    <row r="90">
      <c r="L90" s="173"/>
    </row>
    <row r="91">
      <c r="L91" s="173"/>
    </row>
    <row r="92">
      <c r="L92" s="173"/>
    </row>
    <row r="93">
      <c r="L93" s="173"/>
    </row>
    <row r="94">
      <c r="L94" s="173"/>
    </row>
    <row r="95">
      <c r="L95" s="173"/>
    </row>
    <row r="96">
      <c r="L96" s="173"/>
    </row>
    <row r="97">
      <c r="L97" s="173"/>
    </row>
    <row r="98">
      <c r="L98" s="173"/>
    </row>
    <row r="99">
      <c r="L99" s="173"/>
    </row>
    <row r="100">
      <c r="L100" s="173"/>
    </row>
    <row r="101">
      <c r="L101" s="173"/>
    </row>
    <row r="102">
      <c r="L102" s="173"/>
    </row>
    <row r="103">
      <c r="L103" s="173"/>
    </row>
    <row r="104">
      <c r="L104" s="173"/>
    </row>
    <row r="105">
      <c r="L105" s="173"/>
    </row>
    <row r="106">
      <c r="L106" s="173"/>
    </row>
    <row r="107">
      <c r="L107" s="173"/>
    </row>
    <row r="108">
      <c r="L108" s="173"/>
    </row>
    <row r="109">
      <c r="L109" s="173"/>
    </row>
    <row r="110">
      <c r="L110" s="173"/>
    </row>
    <row r="111">
      <c r="L111" s="173"/>
    </row>
    <row r="112">
      <c r="L112" s="173"/>
    </row>
    <row r="113">
      <c r="L113" s="173"/>
    </row>
    <row r="114">
      <c r="L114" s="173"/>
    </row>
    <row r="115">
      <c r="L115" s="173"/>
    </row>
    <row r="116">
      <c r="L116" s="173"/>
    </row>
    <row r="117">
      <c r="L117" s="173"/>
    </row>
    <row r="118">
      <c r="L118" s="173"/>
    </row>
    <row r="119">
      <c r="L119" s="173"/>
    </row>
    <row r="120">
      <c r="L120" s="173"/>
    </row>
    <row r="121">
      <c r="L121" s="173"/>
    </row>
    <row r="122">
      <c r="L122" s="173"/>
    </row>
    <row r="123">
      <c r="L123" s="173"/>
    </row>
    <row r="124">
      <c r="L124" s="173"/>
    </row>
    <row r="125">
      <c r="L125" s="173"/>
    </row>
    <row r="126">
      <c r="L126" s="173"/>
    </row>
    <row r="127">
      <c r="L127" s="173"/>
    </row>
    <row r="128">
      <c r="L128" s="173"/>
    </row>
    <row r="129">
      <c r="L129" s="173"/>
    </row>
    <row r="130">
      <c r="L130" s="173"/>
    </row>
    <row r="131">
      <c r="L131" s="173"/>
    </row>
    <row r="132">
      <c r="L132" s="173"/>
    </row>
    <row r="133">
      <c r="L133" s="173"/>
    </row>
    <row r="134">
      <c r="L134" s="173"/>
    </row>
    <row r="135">
      <c r="L135" s="173"/>
    </row>
    <row r="136">
      <c r="L136" s="173"/>
    </row>
    <row r="137">
      <c r="L137" s="173"/>
    </row>
    <row r="138">
      <c r="L138" s="173"/>
    </row>
    <row r="139">
      <c r="L139" s="173"/>
    </row>
    <row r="140">
      <c r="L140" s="173"/>
    </row>
    <row r="141">
      <c r="L141" s="173"/>
    </row>
    <row r="142">
      <c r="L142" s="173"/>
    </row>
    <row r="143">
      <c r="L143" s="173"/>
    </row>
    <row r="144">
      <c r="L144" s="173"/>
    </row>
    <row r="145">
      <c r="L145" s="173"/>
    </row>
    <row r="146">
      <c r="L146" s="173"/>
    </row>
    <row r="147">
      <c r="L147" s="173"/>
    </row>
    <row r="148">
      <c r="L148" s="173"/>
    </row>
    <row r="149">
      <c r="L149" s="173"/>
    </row>
    <row r="150">
      <c r="L150" s="173"/>
    </row>
    <row r="151">
      <c r="L151" s="173"/>
    </row>
    <row r="152">
      <c r="L152" s="173"/>
    </row>
    <row r="153">
      <c r="L153" s="173"/>
    </row>
    <row r="154">
      <c r="L154" s="173"/>
    </row>
    <row r="155">
      <c r="L155" s="173"/>
    </row>
    <row r="156">
      <c r="L156" s="173"/>
    </row>
    <row r="157">
      <c r="L157" s="173"/>
    </row>
    <row r="158">
      <c r="L158" s="173"/>
    </row>
    <row r="159">
      <c r="L159" s="173"/>
    </row>
    <row r="160">
      <c r="L160" s="173"/>
    </row>
    <row r="161">
      <c r="L161" s="173"/>
    </row>
    <row r="162">
      <c r="L162" s="173"/>
    </row>
    <row r="163">
      <c r="L163" s="173"/>
    </row>
    <row r="164">
      <c r="L164" s="173"/>
    </row>
    <row r="165">
      <c r="L165" s="173"/>
    </row>
    <row r="166">
      <c r="L166" s="173"/>
    </row>
    <row r="167">
      <c r="L167" s="173"/>
    </row>
    <row r="168">
      <c r="L168" s="173"/>
    </row>
    <row r="169">
      <c r="L169" s="173"/>
    </row>
    <row r="170">
      <c r="L170" s="173"/>
    </row>
    <row r="171">
      <c r="L171" s="173"/>
    </row>
    <row r="172">
      <c r="L172" s="173"/>
    </row>
    <row r="173">
      <c r="L173" s="173"/>
    </row>
    <row r="174">
      <c r="L174" s="173"/>
    </row>
    <row r="175">
      <c r="L175" s="173"/>
    </row>
    <row r="176">
      <c r="L176" s="173"/>
    </row>
    <row r="177">
      <c r="L177" s="173"/>
    </row>
    <row r="178">
      <c r="L178" s="173"/>
    </row>
    <row r="179">
      <c r="L179" s="173"/>
    </row>
    <row r="180">
      <c r="L180" s="173"/>
    </row>
    <row r="181">
      <c r="L181" s="173"/>
    </row>
    <row r="182">
      <c r="L182" s="173"/>
    </row>
    <row r="183">
      <c r="L183" s="173"/>
    </row>
    <row r="184">
      <c r="L184" s="173"/>
    </row>
    <row r="185">
      <c r="L185" s="173"/>
    </row>
    <row r="186">
      <c r="L186" s="173"/>
    </row>
    <row r="187">
      <c r="L187" s="173"/>
    </row>
    <row r="188">
      <c r="L188" s="173"/>
    </row>
    <row r="189">
      <c r="L189" s="173"/>
    </row>
    <row r="190">
      <c r="L190" s="173"/>
    </row>
    <row r="191">
      <c r="L191" s="173"/>
    </row>
    <row r="192">
      <c r="L192" s="173"/>
    </row>
    <row r="193">
      <c r="L193" s="173"/>
    </row>
    <row r="194">
      <c r="L194" s="173"/>
    </row>
    <row r="195">
      <c r="L195" s="173"/>
    </row>
    <row r="196">
      <c r="L196" s="173"/>
    </row>
    <row r="197">
      <c r="L197" s="173"/>
    </row>
    <row r="198">
      <c r="L198" s="173"/>
    </row>
    <row r="199">
      <c r="L199" s="173"/>
    </row>
    <row r="200">
      <c r="L200" s="173"/>
    </row>
    <row r="201">
      <c r="L201" s="173"/>
    </row>
    <row r="202">
      <c r="L202" s="173"/>
    </row>
    <row r="203">
      <c r="L203" s="173"/>
    </row>
    <row r="204">
      <c r="L204" s="173"/>
    </row>
    <row r="205">
      <c r="L205" s="173"/>
    </row>
    <row r="206">
      <c r="L206" s="173"/>
    </row>
    <row r="207">
      <c r="L207" s="173"/>
    </row>
    <row r="208">
      <c r="L208" s="173"/>
    </row>
    <row r="209">
      <c r="L209" s="173"/>
    </row>
    <row r="210">
      <c r="L210" s="173"/>
    </row>
    <row r="211">
      <c r="L211" s="173"/>
    </row>
    <row r="212">
      <c r="L212" s="173"/>
    </row>
    <row r="213">
      <c r="L213" s="173"/>
    </row>
    <row r="214">
      <c r="L214" s="173"/>
    </row>
    <row r="215">
      <c r="L215" s="173"/>
    </row>
    <row r="216">
      <c r="L216" s="173"/>
    </row>
    <row r="217">
      <c r="L217" s="173"/>
    </row>
    <row r="218">
      <c r="L218" s="173"/>
    </row>
    <row r="219">
      <c r="L219" s="173"/>
    </row>
    <row r="220">
      <c r="L220" s="173"/>
    </row>
    <row r="221">
      <c r="L221" s="173"/>
    </row>
    <row r="222">
      <c r="L222" s="173"/>
    </row>
    <row r="223">
      <c r="L223" s="173"/>
    </row>
    <row r="224">
      <c r="L224" s="173"/>
    </row>
    <row r="225">
      <c r="L225" s="173"/>
    </row>
    <row r="226">
      <c r="L226" s="173"/>
    </row>
    <row r="227">
      <c r="L227" s="173"/>
    </row>
    <row r="228">
      <c r="L228" s="173"/>
    </row>
    <row r="229">
      <c r="L229" s="173"/>
    </row>
    <row r="230">
      <c r="L230" s="173"/>
    </row>
    <row r="231">
      <c r="L231" s="173"/>
    </row>
    <row r="232">
      <c r="L232" s="173"/>
    </row>
    <row r="233">
      <c r="L233" s="173"/>
    </row>
    <row r="234">
      <c r="L234" s="173"/>
    </row>
    <row r="235">
      <c r="L235" s="173"/>
    </row>
    <row r="236">
      <c r="L236" s="173"/>
    </row>
    <row r="237">
      <c r="L237" s="173"/>
    </row>
    <row r="238">
      <c r="L238" s="173"/>
    </row>
    <row r="239">
      <c r="L239" s="173"/>
    </row>
    <row r="240">
      <c r="L240" s="173"/>
    </row>
    <row r="241">
      <c r="L241" s="173"/>
    </row>
    <row r="242">
      <c r="L242" s="173"/>
    </row>
    <row r="243">
      <c r="L243" s="173"/>
    </row>
    <row r="244">
      <c r="L244" s="173"/>
    </row>
    <row r="245">
      <c r="L245" s="173"/>
    </row>
    <row r="246">
      <c r="L246" s="173"/>
    </row>
    <row r="247">
      <c r="L247" s="173"/>
    </row>
    <row r="248">
      <c r="L248" s="173"/>
    </row>
    <row r="249">
      <c r="L249" s="173"/>
    </row>
    <row r="250">
      <c r="L250" s="173"/>
    </row>
    <row r="251">
      <c r="L251" s="173"/>
    </row>
    <row r="252">
      <c r="L252" s="173"/>
    </row>
    <row r="253">
      <c r="L253" s="173"/>
    </row>
    <row r="254">
      <c r="L254" s="173"/>
    </row>
    <row r="255">
      <c r="L255" s="173"/>
    </row>
    <row r="256">
      <c r="L256" s="173"/>
    </row>
    <row r="257">
      <c r="L257" s="173"/>
    </row>
    <row r="258">
      <c r="L258" s="173"/>
    </row>
    <row r="259">
      <c r="L259" s="173"/>
    </row>
    <row r="260">
      <c r="L260" s="173"/>
    </row>
    <row r="261">
      <c r="L261" s="173"/>
    </row>
    <row r="262">
      <c r="L262" s="173"/>
    </row>
    <row r="263">
      <c r="L263" s="173"/>
    </row>
    <row r="264">
      <c r="L264" s="173"/>
    </row>
    <row r="265">
      <c r="L265" s="173"/>
    </row>
    <row r="266">
      <c r="L266" s="173"/>
    </row>
    <row r="267">
      <c r="L267" s="173"/>
    </row>
    <row r="268">
      <c r="L268" s="173"/>
    </row>
    <row r="269">
      <c r="L269" s="173"/>
    </row>
    <row r="270">
      <c r="L270" s="173"/>
    </row>
    <row r="271">
      <c r="L271" s="173"/>
    </row>
    <row r="272">
      <c r="L272" s="173"/>
    </row>
    <row r="273">
      <c r="L273" s="173"/>
    </row>
    <row r="274">
      <c r="L274" s="173"/>
    </row>
    <row r="275">
      <c r="L275" s="173"/>
    </row>
    <row r="276">
      <c r="L276" s="173"/>
    </row>
    <row r="277">
      <c r="L277" s="173"/>
    </row>
    <row r="278">
      <c r="L278" s="173"/>
    </row>
    <row r="279">
      <c r="L279" s="173"/>
    </row>
    <row r="280">
      <c r="L280" s="173"/>
    </row>
    <row r="281">
      <c r="L281" s="173"/>
    </row>
    <row r="282">
      <c r="L282" s="173"/>
    </row>
    <row r="283">
      <c r="L283" s="173"/>
    </row>
    <row r="284">
      <c r="L284" s="173"/>
    </row>
    <row r="285">
      <c r="L285" s="173"/>
    </row>
    <row r="286">
      <c r="L286" s="173"/>
    </row>
    <row r="287">
      <c r="L287" s="173"/>
    </row>
    <row r="288">
      <c r="L288" s="173"/>
    </row>
    <row r="289">
      <c r="L289" s="173"/>
    </row>
    <row r="290">
      <c r="L290" s="173"/>
    </row>
    <row r="291">
      <c r="L291" s="173"/>
    </row>
    <row r="292">
      <c r="L292" s="173"/>
    </row>
    <row r="293">
      <c r="L293" s="173"/>
    </row>
    <row r="294">
      <c r="L294" s="173"/>
    </row>
    <row r="295">
      <c r="L295" s="173"/>
    </row>
    <row r="296">
      <c r="L296" s="173"/>
    </row>
    <row r="297">
      <c r="L297" s="173"/>
    </row>
    <row r="298">
      <c r="L298" s="173"/>
    </row>
    <row r="299">
      <c r="L299" s="173"/>
    </row>
    <row r="300">
      <c r="L300" s="173"/>
    </row>
    <row r="301">
      <c r="L301" s="173"/>
    </row>
    <row r="302">
      <c r="L302" s="173"/>
    </row>
    <row r="303">
      <c r="L303" s="173"/>
    </row>
    <row r="304">
      <c r="L304" s="173"/>
    </row>
    <row r="305">
      <c r="L305" s="173"/>
    </row>
    <row r="306">
      <c r="L306" s="173"/>
    </row>
    <row r="307">
      <c r="L307" s="173"/>
    </row>
    <row r="308">
      <c r="L308" s="173"/>
    </row>
    <row r="309">
      <c r="L309" s="173"/>
    </row>
    <row r="310">
      <c r="L310" s="173"/>
    </row>
    <row r="311">
      <c r="L311" s="173"/>
    </row>
    <row r="312">
      <c r="L312" s="173"/>
    </row>
    <row r="313">
      <c r="L313" s="173"/>
    </row>
    <row r="314">
      <c r="L314" s="173"/>
    </row>
    <row r="315">
      <c r="L315" s="173"/>
    </row>
    <row r="316">
      <c r="L316" s="173"/>
    </row>
    <row r="317">
      <c r="L317" s="173"/>
    </row>
    <row r="318">
      <c r="L318" s="173"/>
    </row>
    <row r="319">
      <c r="L319" s="173"/>
    </row>
    <row r="320">
      <c r="L320" s="173"/>
    </row>
    <row r="321">
      <c r="L321" s="173"/>
    </row>
    <row r="322">
      <c r="L322" s="173"/>
    </row>
    <row r="323">
      <c r="L323" s="173"/>
    </row>
    <row r="324">
      <c r="L324" s="173"/>
    </row>
    <row r="325">
      <c r="L325" s="173"/>
    </row>
    <row r="326">
      <c r="L326" s="173"/>
    </row>
    <row r="327">
      <c r="L327" s="173"/>
    </row>
    <row r="328">
      <c r="L328" s="173"/>
    </row>
    <row r="329">
      <c r="L329" s="173"/>
    </row>
    <row r="330">
      <c r="L330" s="173"/>
    </row>
    <row r="331">
      <c r="L331" s="173"/>
    </row>
    <row r="332">
      <c r="L332" s="173"/>
    </row>
    <row r="333">
      <c r="L333" s="173"/>
    </row>
    <row r="334">
      <c r="L334" s="173"/>
    </row>
    <row r="335">
      <c r="L335" s="173"/>
    </row>
    <row r="336">
      <c r="L336" s="173"/>
    </row>
    <row r="337">
      <c r="L337" s="173"/>
    </row>
    <row r="338">
      <c r="L338" s="173"/>
    </row>
    <row r="339">
      <c r="L339" s="173"/>
    </row>
    <row r="340">
      <c r="L340" s="173"/>
    </row>
    <row r="341">
      <c r="L341" s="173"/>
    </row>
    <row r="342">
      <c r="L342" s="173"/>
    </row>
    <row r="343">
      <c r="L343" s="173"/>
    </row>
    <row r="344">
      <c r="L344" s="173"/>
    </row>
    <row r="345">
      <c r="L345" s="173"/>
    </row>
    <row r="346">
      <c r="L346" s="173"/>
    </row>
    <row r="347">
      <c r="L347" s="173"/>
    </row>
    <row r="348">
      <c r="L348" s="173"/>
    </row>
    <row r="349">
      <c r="L349" s="173"/>
    </row>
    <row r="350">
      <c r="L350" s="173"/>
    </row>
    <row r="351">
      <c r="L351" s="173"/>
    </row>
    <row r="352">
      <c r="L352" s="173"/>
    </row>
    <row r="353">
      <c r="L353" s="173"/>
    </row>
    <row r="354">
      <c r="L354" s="173"/>
    </row>
    <row r="355">
      <c r="L355" s="173"/>
    </row>
    <row r="356">
      <c r="L356" s="173"/>
    </row>
    <row r="357">
      <c r="L357" s="173"/>
    </row>
    <row r="358">
      <c r="L358" s="173"/>
    </row>
    <row r="359">
      <c r="L359" s="173"/>
    </row>
    <row r="360">
      <c r="L360" s="173"/>
    </row>
    <row r="361">
      <c r="L361" s="173"/>
    </row>
    <row r="362">
      <c r="L362" s="173"/>
    </row>
    <row r="363">
      <c r="L363" s="173"/>
    </row>
    <row r="364">
      <c r="L364" s="173"/>
    </row>
    <row r="365">
      <c r="L365" s="173"/>
    </row>
    <row r="366">
      <c r="L366" s="173"/>
    </row>
    <row r="367">
      <c r="L367" s="173"/>
    </row>
    <row r="368">
      <c r="L368" s="173"/>
    </row>
    <row r="369">
      <c r="L369" s="173"/>
    </row>
    <row r="370">
      <c r="L370" s="173"/>
    </row>
    <row r="371">
      <c r="L371" s="173"/>
    </row>
    <row r="372">
      <c r="L372" s="173"/>
    </row>
    <row r="373">
      <c r="L373" s="173"/>
    </row>
    <row r="374">
      <c r="L374" s="173"/>
    </row>
    <row r="375">
      <c r="L375" s="173"/>
    </row>
    <row r="376">
      <c r="L376" s="173"/>
    </row>
    <row r="377">
      <c r="L377" s="173"/>
    </row>
    <row r="378">
      <c r="L378" s="173"/>
    </row>
    <row r="379">
      <c r="L379" s="173"/>
    </row>
    <row r="380">
      <c r="L380" s="173"/>
    </row>
    <row r="381">
      <c r="L381" s="173"/>
    </row>
    <row r="382">
      <c r="L382" s="173"/>
    </row>
    <row r="383">
      <c r="L383" s="173"/>
    </row>
    <row r="384">
      <c r="L384" s="173"/>
    </row>
    <row r="385">
      <c r="L385" s="173"/>
    </row>
    <row r="386">
      <c r="L386" s="173"/>
    </row>
    <row r="387">
      <c r="L387" s="173"/>
    </row>
    <row r="388">
      <c r="L388" s="173"/>
    </row>
    <row r="389">
      <c r="L389" s="173"/>
    </row>
    <row r="390">
      <c r="L390" s="173"/>
    </row>
    <row r="391">
      <c r="L391" s="173"/>
    </row>
    <row r="392">
      <c r="L392" s="173"/>
    </row>
    <row r="393">
      <c r="L393" s="173"/>
    </row>
    <row r="394">
      <c r="L394" s="173"/>
    </row>
    <row r="395">
      <c r="L395" s="173"/>
    </row>
    <row r="396">
      <c r="L396" s="173"/>
    </row>
    <row r="397">
      <c r="L397" s="173"/>
    </row>
    <row r="398">
      <c r="L398" s="173"/>
    </row>
    <row r="399">
      <c r="L399" s="173"/>
    </row>
    <row r="400">
      <c r="L400" s="173"/>
    </row>
    <row r="401">
      <c r="L401" s="173"/>
    </row>
    <row r="402">
      <c r="L402" s="173"/>
    </row>
    <row r="403">
      <c r="L403" s="173"/>
    </row>
    <row r="404">
      <c r="L404" s="173"/>
    </row>
    <row r="405">
      <c r="L405" s="173"/>
    </row>
    <row r="406">
      <c r="L406" s="173"/>
    </row>
    <row r="407">
      <c r="L407" s="173"/>
    </row>
    <row r="408">
      <c r="L408" s="173"/>
    </row>
    <row r="409">
      <c r="L409" s="173"/>
    </row>
    <row r="410">
      <c r="L410" s="173"/>
    </row>
    <row r="411">
      <c r="L411" s="173"/>
    </row>
    <row r="412">
      <c r="L412" s="173"/>
    </row>
    <row r="413">
      <c r="L413" s="173"/>
    </row>
    <row r="414">
      <c r="L414" s="173"/>
    </row>
    <row r="415">
      <c r="L415" s="173"/>
    </row>
    <row r="416">
      <c r="L416" s="173"/>
    </row>
    <row r="417">
      <c r="L417" s="173"/>
    </row>
    <row r="418">
      <c r="L418" s="173"/>
    </row>
    <row r="419">
      <c r="L419" s="173"/>
    </row>
    <row r="420">
      <c r="L420" s="173"/>
    </row>
    <row r="421">
      <c r="L421" s="173"/>
    </row>
    <row r="422">
      <c r="L422" s="173"/>
    </row>
    <row r="423">
      <c r="L423" s="173"/>
    </row>
    <row r="424">
      <c r="L424" s="173"/>
    </row>
    <row r="425">
      <c r="L425" s="173"/>
    </row>
    <row r="426">
      <c r="L426" s="173"/>
    </row>
    <row r="427">
      <c r="L427" s="173"/>
    </row>
    <row r="428">
      <c r="L428" s="173"/>
    </row>
    <row r="429">
      <c r="L429" s="173"/>
    </row>
    <row r="430">
      <c r="L430" s="173"/>
    </row>
    <row r="431">
      <c r="L431" s="173"/>
    </row>
    <row r="432">
      <c r="L432" s="173"/>
    </row>
    <row r="433">
      <c r="L433" s="173"/>
    </row>
    <row r="434">
      <c r="L434" s="173"/>
    </row>
    <row r="435">
      <c r="L435" s="173"/>
    </row>
    <row r="436">
      <c r="L436" s="173"/>
    </row>
    <row r="437">
      <c r="L437" s="173"/>
    </row>
    <row r="438">
      <c r="L438" s="173"/>
    </row>
    <row r="439">
      <c r="L439" s="173"/>
    </row>
    <row r="440">
      <c r="L440" s="173"/>
    </row>
    <row r="441">
      <c r="L441" s="173"/>
    </row>
    <row r="442">
      <c r="L442" s="173"/>
    </row>
    <row r="443">
      <c r="L443" s="173"/>
    </row>
    <row r="444">
      <c r="L444" s="173"/>
    </row>
    <row r="445">
      <c r="L445" s="173"/>
    </row>
    <row r="446">
      <c r="L446" s="173"/>
    </row>
    <row r="447">
      <c r="L447" s="173"/>
    </row>
    <row r="448">
      <c r="L448" s="173"/>
    </row>
    <row r="449">
      <c r="L449" s="173"/>
    </row>
    <row r="450">
      <c r="L450" s="173"/>
    </row>
    <row r="451">
      <c r="L451" s="173"/>
    </row>
    <row r="452">
      <c r="L452" s="173"/>
    </row>
    <row r="453">
      <c r="L453" s="173"/>
    </row>
    <row r="454">
      <c r="L454" s="173"/>
    </row>
    <row r="455">
      <c r="L455" s="173"/>
    </row>
    <row r="456">
      <c r="L456" s="173"/>
    </row>
    <row r="457">
      <c r="L457" s="173"/>
    </row>
    <row r="458">
      <c r="L458" s="173"/>
    </row>
    <row r="459">
      <c r="L459" s="173"/>
    </row>
    <row r="460">
      <c r="L460" s="173"/>
    </row>
    <row r="461">
      <c r="L461" s="173"/>
    </row>
    <row r="462">
      <c r="L462" s="173"/>
    </row>
    <row r="463">
      <c r="L463" s="173"/>
    </row>
    <row r="464">
      <c r="L464" s="173"/>
    </row>
    <row r="465">
      <c r="L465" s="173"/>
    </row>
    <row r="466">
      <c r="L466" s="173"/>
    </row>
    <row r="467">
      <c r="L467" s="173"/>
    </row>
    <row r="468">
      <c r="L468" s="173"/>
    </row>
    <row r="469">
      <c r="L469" s="173"/>
    </row>
    <row r="470">
      <c r="L470" s="173"/>
    </row>
    <row r="471">
      <c r="L471" s="173"/>
    </row>
    <row r="472">
      <c r="L472" s="173"/>
    </row>
    <row r="473">
      <c r="L473" s="173"/>
    </row>
    <row r="474">
      <c r="L474" s="173"/>
    </row>
    <row r="475">
      <c r="L475" s="173"/>
    </row>
    <row r="476">
      <c r="L476" s="173"/>
    </row>
    <row r="477">
      <c r="L477" s="173"/>
    </row>
    <row r="478">
      <c r="L478" s="173"/>
    </row>
    <row r="479">
      <c r="L479" s="173"/>
    </row>
    <row r="480">
      <c r="L480" s="173"/>
    </row>
    <row r="481">
      <c r="L481" s="173"/>
    </row>
    <row r="482">
      <c r="L482" s="173"/>
    </row>
    <row r="483">
      <c r="L483" s="173"/>
    </row>
    <row r="484">
      <c r="L484" s="173"/>
    </row>
    <row r="485">
      <c r="L485" s="173"/>
    </row>
    <row r="486">
      <c r="L486" s="173"/>
    </row>
    <row r="487">
      <c r="L487" s="173"/>
    </row>
    <row r="488">
      <c r="L488" s="173"/>
    </row>
    <row r="489">
      <c r="L489" s="173"/>
    </row>
    <row r="490">
      <c r="L490" s="173"/>
    </row>
    <row r="491">
      <c r="L491" s="173"/>
    </row>
    <row r="492">
      <c r="L492" s="173"/>
    </row>
    <row r="493">
      <c r="L493" s="173"/>
    </row>
    <row r="494">
      <c r="L494" s="173"/>
    </row>
    <row r="495">
      <c r="L495" s="173"/>
    </row>
    <row r="496">
      <c r="L496" s="173"/>
    </row>
    <row r="497">
      <c r="L497" s="173"/>
    </row>
    <row r="498">
      <c r="L498" s="173"/>
    </row>
    <row r="499">
      <c r="L499" s="173"/>
    </row>
    <row r="500">
      <c r="L500" s="173"/>
    </row>
    <row r="501">
      <c r="L501" s="173"/>
    </row>
    <row r="502">
      <c r="L502" s="173"/>
    </row>
    <row r="503">
      <c r="L503" s="173"/>
    </row>
    <row r="504">
      <c r="L504" s="173"/>
    </row>
    <row r="505">
      <c r="L505" s="173"/>
    </row>
    <row r="506">
      <c r="L506" s="173"/>
    </row>
    <row r="507">
      <c r="L507" s="173"/>
    </row>
    <row r="508">
      <c r="L508" s="173"/>
    </row>
    <row r="509">
      <c r="L509" s="173"/>
    </row>
    <row r="510">
      <c r="L510" s="173"/>
    </row>
    <row r="511">
      <c r="L511" s="173"/>
    </row>
    <row r="512">
      <c r="L512" s="173"/>
    </row>
    <row r="513">
      <c r="L513" s="173"/>
    </row>
    <row r="514">
      <c r="L514" s="173"/>
    </row>
    <row r="515">
      <c r="L515" s="173"/>
    </row>
    <row r="516">
      <c r="L516" s="173"/>
    </row>
    <row r="517">
      <c r="L517" s="173"/>
    </row>
    <row r="518">
      <c r="L518" s="173"/>
    </row>
    <row r="519">
      <c r="L519" s="173"/>
    </row>
    <row r="520">
      <c r="L520" s="173"/>
    </row>
    <row r="521">
      <c r="L521" s="173"/>
    </row>
    <row r="522">
      <c r="L522" s="173"/>
    </row>
    <row r="523">
      <c r="L523" s="173"/>
    </row>
    <row r="524">
      <c r="L524" s="173"/>
    </row>
    <row r="525">
      <c r="L525" s="173"/>
    </row>
    <row r="526">
      <c r="L526" s="173"/>
    </row>
    <row r="527">
      <c r="L527" s="173"/>
    </row>
    <row r="528">
      <c r="L528" s="173"/>
    </row>
    <row r="529">
      <c r="L529" s="173"/>
    </row>
    <row r="530">
      <c r="L530" s="173"/>
    </row>
    <row r="531">
      <c r="L531" s="173"/>
    </row>
    <row r="532">
      <c r="L532" s="173"/>
    </row>
    <row r="533">
      <c r="L533" s="173"/>
    </row>
    <row r="534">
      <c r="L534" s="173"/>
    </row>
    <row r="535">
      <c r="L535" s="173"/>
    </row>
    <row r="536">
      <c r="L536" s="173"/>
    </row>
    <row r="537">
      <c r="L537" s="173"/>
    </row>
    <row r="538">
      <c r="L538" s="173"/>
    </row>
    <row r="539">
      <c r="L539" s="173"/>
    </row>
    <row r="540">
      <c r="L540" s="173"/>
    </row>
    <row r="541">
      <c r="L541" s="173"/>
    </row>
    <row r="542">
      <c r="L542" s="173"/>
    </row>
    <row r="543">
      <c r="L543" s="173"/>
    </row>
    <row r="544">
      <c r="L544" s="173"/>
    </row>
    <row r="545">
      <c r="L545" s="173"/>
    </row>
    <row r="546">
      <c r="L546" s="173"/>
    </row>
    <row r="547">
      <c r="L547" s="173"/>
    </row>
    <row r="548">
      <c r="L548" s="173"/>
    </row>
    <row r="549">
      <c r="L549" s="173"/>
    </row>
    <row r="550">
      <c r="L550" s="173"/>
    </row>
    <row r="551">
      <c r="L551" s="173"/>
    </row>
    <row r="552">
      <c r="L552" s="173"/>
    </row>
    <row r="553">
      <c r="L553" s="173"/>
    </row>
    <row r="554">
      <c r="L554" s="173"/>
    </row>
    <row r="555">
      <c r="L555" s="173"/>
    </row>
    <row r="556">
      <c r="L556" s="173"/>
    </row>
    <row r="557">
      <c r="L557" s="173"/>
    </row>
    <row r="558">
      <c r="L558" s="173"/>
    </row>
    <row r="559">
      <c r="L559" s="173"/>
    </row>
    <row r="560">
      <c r="L560" s="173"/>
    </row>
    <row r="561">
      <c r="L561" s="173"/>
    </row>
    <row r="562">
      <c r="L562" s="173"/>
    </row>
    <row r="563">
      <c r="L563" s="173"/>
    </row>
    <row r="564">
      <c r="L564" s="173"/>
    </row>
    <row r="565">
      <c r="L565" s="173"/>
    </row>
    <row r="566">
      <c r="L566" s="173"/>
    </row>
    <row r="567">
      <c r="L567" s="173"/>
    </row>
    <row r="568">
      <c r="L568" s="173"/>
    </row>
    <row r="569">
      <c r="L569" s="173"/>
    </row>
    <row r="570">
      <c r="L570" s="173"/>
    </row>
    <row r="571">
      <c r="L571" s="173"/>
    </row>
    <row r="572">
      <c r="L572" s="173"/>
    </row>
    <row r="573">
      <c r="L573" s="173"/>
    </row>
    <row r="574">
      <c r="L574" s="173"/>
    </row>
    <row r="575">
      <c r="L575" s="173"/>
    </row>
    <row r="576">
      <c r="L576" s="173"/>
    </row>
    <row r="577">
      <c r="L577" s="173"/>
    </row>
    <row r="578">
      <c r="L578" s="173"/>
    </row>
    <row r="579">
      <c r="L579" s="173"/>
    </row>
    <row r="580">
      <c r="L580" s="173"/>
    </row>
    <row r="581">
      <c r="L581" s="173"/>
    </row>
    <row r="582">
      <c r="L582" s="173"/>
    </row>
    <row r="583">
      <c r="L583" s="173"/>
    </row>
    <row r="584">
      <c r="L584" s="173"/>
    </row>
    <row r="585">
      <c r="L585" s="173"/>
    </row>
    <row r="586">
      <c r="L586" s="173"/>
    </row>
    <row r="587">
      <c r="L587" s="173"/>
    </row>
    <row r="588">
      <c r="L588" s="173"/>
    </row>
    <row r="589">
      <c r="L589" s="173"/>
    </row>
    <row r="590">
      <c r="L590" s="173"/>
    </row>
    <row r="591">
      <c r="L591" s="173"/>
    </row>
    <row r="592">
      <c r="L592" s="173"/>
    </row>
    <row r="593">
      <c r="L593" s="173"/>
    </row>
    <row r="594">
      <c r="L594" s="173"/>
    </row>
    <row r="595">
      <c r="L595" s="173"/>
    </row>
    <row r="596">
      <c r="L596" s="173"/>
    </row>
    <row r="597">
      <c r="L597" s="173"/>
    </row>
    <row r="598">
      <c r="L598" s="173"/>
    </row>
    <row r="599">
      <c r="L599" s="173"/>
    </row>
    <row r="600">
      <c r="L600" s="173"/>
    </row>
    <row r="601">
      <c r="L601" s="173"/>
    </row>
    <row r="602">
      <c r="L602" s="173"/>
    </row>
    <row r="603">
      <c r="L603" s="173"/>
    </row>
    <row r="604">
      <c r="L604" s="173"/>
    </row>
    <row r="605">
      <c r="L605" s="173"/>
    </row>
    <row r="606">
      <c r="L606" s="173"/>
    </row>
    <row r="607">
      <c r="L607" s="173"/>
    </row>
    <row r="608">
      <c r="L608" s="173"/>
    </row>
    <row r="609">
      <c r="L609" s="173"/>
    </row>
    <row r="610">
      <c r="L610" s="173"/>
    </row>
    <row r="611">
      <c r="L611" s="173"/>
    </row>
    <row r="612">
      <c r="L612" s="173"/>
    </row>
    <row r="613">
      <c r="L613" s="173"/>
    </row>
    <row r="614">
      <c r="L614" s="173"/>
    </row>
    <row r="615">
      <c r="L615" s="173"/>
    </row>
    <row r="616">
      <c r="L616" s="173"/>
    </row>
    <row r="617">
      <c r="L617" s="173"/>
    </row>
    <row r="618">
      <c r="L618" s="173"/>
    </row>
    <row r="619">
      <c r="L619" s="173"/>
    </row>
    <row r="620">
      <c r="L620" s="173"/>
    </row>
    <row r="621">
      <c r="L621" s="173"/>
    </row>
    <row r="622">
      <c r="L622" s="173"/>
    </row>
    <row r="623">
      <c r="L623" s="173"/>
    </row>
    <row r="624">
      <c r="L624" s="173"/>
    </row>
    <row r="625">
      <c r="L625" s="173"/>
    </row>
    <row r="626">
      <c r="L626" s="173"/>
    </row>
    <row r="627">
      <c r="L627" s="173"/>
    </row>
    <row r="628">
      <c r="L628" s="173"/>
    </row>
    <row r="629">
      <c r="L629" s="173"/>
    </row>
    <row r="630">
      <c r="L630" s="173"/>
    </row>
    <row r="631">
      <c r="L631" s="173"/>
    </row>
    <row r="632">
      <c r="L632" s="173"/>
    </row>
    <row r="633">
      <c r="L633" s="173"/>
    </row>
    <row r="634">
      <c r="L634" s="173"/>
    </row>
    <row r="635">
      <c r="L635" s="173"/>
    </row>
    <row r="636">
      <c r="L636" s="173"/>
    </row>
    <row r="637">
      <c r="L637" s="173"/>
    </row>
    <row r="638">
      <c r="L638" s="173"/>
    </row>
    <row r="639">
      <c r="L639" s="173"/>
    </row>
    <row r="640">
      <c r="L640" s="173"/>
    </row>
    <row r="641">
      <c r="L641" s="173"/>
    </row>
    <row r="642">
      <c r="L642" s="173"/>
    </row>
    <row r="643">
      <c r="L643" s="173"/>
    </row>
    <row r="644">
      <c r="L644" s="173"/>
    </row>
    <row r="645">
      <c r="L645" s="173"/>
    </row>
    <row r="646">
      <c r="L646" s="173"/>
    </row>
    <row r="647">
      <c r="L647" s="173"/>
    </row>
    <row r="648">
      <c r="L648" s="173"/>
    </row>
    <row r="649">
      <c r="L649" s="173"/>
    </row>
    <row r="650">
      <c r="L650" s="173"/>
    </row>
    <row r="651">
      <c r="L651" s="173"/>
    </row>
    <row r="652">
      <c r="L652" s="173"/>
    </row>
    <row r="653">
      <c r="L653" s="173"/>
    </row>
    <row r="654">
      <c r="L654" s="173"/>
    </row>
    <row r="655">
      <c r="L655" s="173"/>
    </row>
    <row r="656">
      <c r="L656" s="173"/>
    </row>
    <row r="657">
      <c r="L657" s="173"/>
    </row>
    <row r="658">
      <c r="L658" s="173"/>
    </row>
    <row r="659">
      <c r="L659" s="173"/>
    </row>
    <row r="660">
      <c r="L660" s="173"/>
    </row>
    <row r="661">
      <c r="L661" s="173"/>
    </row>
    <row r="662">
      <c r="L662" s="173"/>
    </row>
    <row r="663">
      <c r="L663" s="173"/>
    </row>
    <row r="664">
      <c r="L664" s="173"/>
    </row>
    <row r="665">
      <c r="L665" s="173"/>
    </row>
    <row r="666">
      <c r="L666" s="173"/>
    </row>
    <row r="667">
      <c r="L667" s="173"/>
    </row>
    <row r="668">
      <c r="L668" s="173"/>
    </row>
    <row r="669">
      <c r="L669" s="173"/>
    </row>
    <row r="670">
      <c r="L670" s="173"/>
    </row>
    <row r="671">
      <c r="L671" s="173"/>
    </row>
    <row r="672">
      <c r="L672" s="173"/>
    </row>
    <row r="673">
      <c r="L673" s="173"/>
    </row>
    <row r="674">
      <c r="L674" s="173"/>
    </row>
    <row r="675">
      <c r="L675" s="173"/>
    </row>
    <row r="676">
      <c r="L676" s="173"/>
    </row>
    <row r="677">
      <c r="L677" s="173"/>
    </row>
    <row r="678">
      <c r="L678" s="173"/>
    </row>
    <row r="679">
      <c r="L679" s="173"/>
    </row>
    <row r="680">
      <c r="L680" s="173"/>
    </row>
    <row r="681">
      <c r="L681" s="173"/>
    </row>
    <row r="682">
      <c r="L682" s="173"/>
    </row>
    <row r="683">
      <c r="L683" s="173"/>
    </row>
    <row r="684">
      <c r="L684" s="173"/>
    </row>
    <row r="685">
      <c r="L685" s="173"/>
    </row>
    <row r="686">
      <c r="L686" s="173"/>
    </row>
    <row r="687">
      <c r="L687" s="173"/>
    </row>
    <row r="688">
      <c r="L688" s="173"/>
    </row>
    <row r="689">
      <c r="L689" s="173"/>
    </row>
    <row r="690">
      <c r="L690" s="173"/>
    </row>
    <row r="691">
      <c r="L691" s="173"/>
    </row>
    <row r="692">
      <c r="L692" s="173"/>
    </row>
    <row r="693">
      <c r="L693" s="173"/>
    </row>
    <row r="694">
      <c r="L694" s="173"/>
    </row>
    <row r="695">
      <c r="L695" s="173"/>
    </row>
    <row r="696">
      <c r="L696" s="173"/>
    </row>
    <row r="697">
      <c r="L697" s="173"/>
    </row>
    <row r="698">
      <c r="L698" s="173"/>
    </row>
    <row r="699">
      <c r="L699" s="173"/>
    </row>
    <row r="700">
      <c r="L700" s="173"/>
    </row>
    <row r="701">
      <c r="L701" s="173"/>
    </row>
    <row r="702">
      <c r="L702" s="173"/>
    </row>
    <row r="703">
      <c r="L703" s="173"/>
    </row>
    <row r="704">
      <c r="L704" s="173"/>
    </row>
    <row r="705">
      <c r="L705" s="173"/>
    </row>
    <row r="706">
      <c r="L706" s="173"/>
    </row>
    <row r="707">
      <c r="L707" s="173"/>
    </row>
    <row r="708">
      <c r="L708" s="173"/>
    </row>
    <row r="709">
      <c r="L709" s="173"/>
    </row>
    <row r="710">
      <c r="L710" s="173"/>
    </row>
    <row r="711">
      <c r="L711" s="173"/>
    </row>
    <row r="712">
      <c r="L712" s="173"/>
    </row>
    <row r="713">
      <c r="L713" s="173"/>
    </row>
    <row r="714">
      <c r="L714" s="173"/>
    </row>
    <row r="715">
      <c r="L715" s="173"/>
    </row>
    <row r="716">
      <c r="L716" s="173"/>
    </row>
    <row r="717">
      <c r="L717" s="173"/>
    </row>
    <row r="718">
      <c r="L718" s="173"/>
    </row>
    <row r="719">
      <c r="L719" s="173"/>
    </row>
    <row r="720">
      <c r="L720" s="173"/>
    </row>
    <row r="721">
      <c r="L721" s="173"/>
    </row>
    <row r="722">
      <c r="L722" s="173"/>
    </row>
    <row r="723">
      <c r="L723" s="173"/>
    </row>
    <row r="724">
      <c r="L724" s="173"/>
    </row>
    <row r="725">
      <c r="L725" s="173"/>
    </row>
    <row r="726">
      <c r="L726" s="173"/>
    </row>
    <row r="727">
      <c r="L727" s="173"/>
    </row>
    <row r="728">
      <c r="L728" s="173"/>
    </row>
    <row r="729">
      <c r="L729" s="173"/>
    </row>
    <row r="730">
      <c r="L730" s="173"/>
    </row>
    <row r="731">
      <c r="L731" s="173"/>
    </row>
    <row r="732">
      <c r="L732" s="173"/>
    </row>
    <row r="733">
      <c r="L733" s="173"/>
    </row>
    <row r="734">
      <c r="L734" s="173"/>
    </row>
    <row r="735">
      <c r="L735" s="173"/>
    </row>
    <row r="736">
      <c r="L736" s="173"/>
    </row>
    <row r="737">
      <c r="L737" s="173"/>
    </row>
    <row r="738">
      <c r="L738" s="173"/>
    </row>
    <row r="739">
      <c r="L739" s="173"/>
    </row>
    <row r="740">
      <c r="L740" s="173"/>
    </row>
    <row r="741">
      <c r="L741" s="173"/>
    </row>
    <row r="742">
      <c r="L742" s="173"/>
    </row>
    <row r="743">
      <c r="L743" s="173"/>
    </row>
    <row r="744">
      <c r="L744" s="173"/>
    </row>
    <row r="745">
      <c r="L745" s="173"/>
    </row>
    <row r="746">
      <c r="L746" s="173"/>
    </row>
    <row r="747">
      <c r="L747" s="173"/>
    </row>
    <row r="748">
      <c r="L748" s="173"/>
    </row>
    <row r="749">
      <c r="L749" s="173"/>
    </row>
    <row r="750">
      <c r="L750" s="173"/>
    </row>
    <row r="751">
      <c r="L751" s="173"/>
    </row>
    <row r="752">
      <c r="L752" s="173"/>
    </row>
    <row r="753">
      <c r="L753" s="173"/>
    </row>
    <row r="754">
      <c r="L754" s="173"/>
    </row>
    <row r="755">
      <c r="L755" s="173"/>
    </row>
    <row r="756">
      <c r="L756" s="173"/>
    </row>
    <row r="757">
      <c r="L757" s="173"/>
    </row>
    <row r="758">
      <c r="L758" s="173"/>
    </row>
    <row r="759">
      <c r="L759" s="173"/>
    </row>
    <row r="760">
      <c r="L760" s="173"/>
    </row>
    <row r="761">
      <c r="L761" s="173"/>
    </row>
    <row r="762">
      <c r="L762" s="173"/>
    </row>
    <row r="763">
      <c r="L763" s="173"/>
    </row>
    <row r="764">
      <c r="L764" s="173"/>
    </row>
    <row r="765">
      <c r="L765" s="173"/>
    </row>
    <row r="766">
      <c r="L766" s="173"/>
    </row>
    <row r="767">
      <c r="L767" s="173"/>
    </row>
    <row r="768">
      <c r="L768" s="173"/>
    </row>
    <row r="769">
      <c r="L769" s="173"/>
    </row>
    <row r="770">
      <c r="L770" s="173"/>
    </row>
    <row r="771">
      <c r="L771" s="173"/>
    </row>
    <row r="772">
      <c r="L772" s="173"/>
    </row>
    <row r="773">
      <c r="L773" s="173"/>
    </row>
    <row r="774">
      <c r="L774" s="173"/>
    </row>
    <row r="775">
      <c r="L775" s="173"/>
    </row>
    <row r="776">
      <c r="L776" s="173"/>
    </row>
    <row r="777">
      <c r="L777" s="173"/>
    </row>
    <row r="778">
      <c r="L778" s="173"/>
    </row>
    <row r="779">
      <c r="L779" s="173"/>
    </row>
    <row r="780">
      <c r="L780" s="173"/>
    </row>
    <row r="781">
      <c r="L781" s="173"/>
    </row>
    <row r="782">
      <c r="L782" s="173"/>
    </row>
    <row r="783">
      <c r="L783" s="173"/>
    </row>
    <row r="784">
      <c r="L784" s="173"/>
    </row>
    <row r="785">
      <c r="L785" s="173"/>
    </row>
    <row r="786">
      <c r="L786" s="173"/>
    </row>
    <row r="787">
      <c r="L787" s="173"/>
    </row>
    <row r="788">
      <c r="L788" s="173"/>
    </row>
    <row r="789">
      <c r="L789" s="173"/>
    </row>
    <row r="790">
      <c r="L790" s="173"/>
    </row>
    <row r="791">
      <c r="L791" s="173"/>
    </row>
    <row r="792">
      <c r="L792" s="173"/>
    </row>
    <row r="793">
      <c r="L793" s="173"/>
    </row>
    <row r="794">
      <c r="L794" s="173"/>
    </row>
    <row r="795">
      <c r="L795" s="173"/>
    </row>
    <row r="796">
      <c r="L796" s="173"/>
    </row>
    <row r="797">
      <c r="L797" s="173"/>
    </row>
    <row r="798">
      <c r="L798" s="173"/>
    </row>
    <row r="799">
      <c r="L799" s="173"/>
    </row>
    <row r="800">
      <c r="L800" s="173"/>
    </row>
    <row r="801">
      <c r="L801" s="173"/>
    </row>
    <row r="802">
      <c r="L802" s="173"/>
    </row>
    <row r="803">
      <c r="L803" s="173"/>
    </row>
    <row r="804">
      <c r="L804" s="173"/>
    </row>
    <row r="805">
      <c r="L805" s="173"/>
    </row>
    <row r="806">
      <c r="L806" s="173"/>
    </row>
    <row r="807">
      <c r="L807" s="173"/>
    </row>
    <row r="808">
      <c r="L808" s="173"/>
    </row>
    <row r="809">
      <c r="L809" s="173"/>
    </row>
    <row r="810">
      <c r="L810" s="173"/>
    </row>
    <row r="811">
      <c r="L811" s="173"/>
    </row>
    <row r="812">
      <c r="L812" s="173"/>
    </row>
    <row r="813">
      <c r="L813" s="173"/>
    </row>
    <row r="814">
      <c r="L814" s="173"/>
    </row>
    <row r="815">
      <c r="L815" s="173"/>
    </row>
    <row r="816">
      <c r="L816" s="173"/>
    </row>
    <row r="817">
      <c r="L817" s="173"/>
    </row>
    <row r="818">
      <c r="L818" s="173"/>
    </row>
    <row r="819">
      <c r="L819" s="173"/>
    </row>
    <row r="820">
      <c r="L820" s="173"/>
    </row>
    <row r="821">
      <c r="L821" s="173"/>
    </row>
    <row r="822">
      <c r="L822" s="173"/>
    </row>
    <row r="823">
      <c r="L823" s="173"/>
    </row>
    <row r="824">
      <c r="L824" s="173"/>
    </row>
    <row r="825">
      <c r="L825" s="173"/>
    </row>
    <row r="826">
      <c r="L826" s="173"/>
    </row>
    <row r="827">
      <c r="L827" s="173"/>
    </row>
    <row r="828">
      <c r="L828" s="173"/>
    </row>
    <row r="829">
      <c r="L829" s="173"/>
    </row>
    <row r="830">
      <c r="L830" s="173"/>
    </row>
    <row r="831">
      <c r="L831" s="173"/>
    </row>
    <row r="832">
      <c r="L832" s="173"/>
    </row>
    <row r="833">
      <c r="L833" s="173"/>
    </row>
    <row r="834">
      <c r="L834" s="173"/>
    </row>
    <row r="835">
      <c r="L835" s="173"/>
    </row>
    <row r="836">
      <c r="L836" s="173"/>
    </row>
    <row r="837">
      <c r="L837" s="173"/>
    </row>
    <row r="838">
      <c r="L838" s="173"/>
    </row>
    <row r="839">
      <c r="L839" s="173"/>
    </row>
    <row r="840">
      <c r="L840" s="173"/>
    </row>
    <row r="841">
      <c r="L841" s="173"/>
    </row>
    <row r="842">
      <c r="L842" s="173"/>
    </row>
    <row r="843">
      <c r="L843" s="173"/>
    </row>
    <row r="844">
      <c r="L844" s="173"/>
    </row>
    <row r="845">
      <c r="L845" s="173"/>
    </row>
    <row r="846">
      <c r="L846" s="173"/>
    </row>
    <row r="847">
      <c r="L847" s="173"/>
    </row>
    <row r="848">
      <c r="L848" s="173"/>
    </row>
    <row r="849">
      <c r="L849" s="173"/>
    </row>
    <row r="850">
      <c r="L850" s="173"/>
    </row>
    <row r="851">
      <c r="L851" s="173"/>
    </row>
    <row r="852">
      <c r="L852" s="173"/>
    </row>
    <row r="853">
      <c r="L853" s="173"/>
    </row>
    <row r="854">
      <c r="L854" s="173"/>
    </row>
    <row r="855">
      <c r="L855" s="173"/>
    </row>
    <row r="856">
      <c r="L856" s="173"/>
    </row>
    <row r="857">
      <c r="L857" s="173"/>
    </row>
    <row r="858">
      <c r="L858" s="173"/>
    </row>
    <row r="859">
      <c r="L859" s="173"/>
    </row>
    <row r="860">
      <c r="L860" s="173"/>
    </row>
    <row r="861">
      <c r="L861" s="173"/>
    </row>
    <row r="862">
      <c r="L862" s="173"/>
    </row>
    <row r="863">
      <c r="L863" s="173"/>
    </row>
    <row r="864">
      <c r="L864" s="173"/>
    </row>
    <row r="865">
      <c r="L865" s="173"/>
    </row>
    <row r="866">
      <c r="L866" s="173"/>
    </row>
    <row r="867">
      <c r="L867" s="173"/>
    </row>
    <row r="868">
      <c r="L868" s="173"/>
    </row>
    <row r="869">
      <c r="L869" s="173"/>
    </row>
    <row r="870">
      <c r="L870" s="173"/>
    </row>
    <row r="871">
      <c r="L871" s="173"/>
    </row>
    <row r="872">
      <c r="L872" s="173"/>
    </row>
    <row r="873">
      <c r="L873" s="173"/>
    </row>
    <row r="874">
      <c r="L874" s="173"/>
    </row>
    <row r="875">
      <c r="L875" s="173"/>
    </row>
    <row r="876">
      <c r="L876" s="173"/>
    </row>
    <row r="877">
      <c r="L877" s="173"/>
    </row>
    <row r="878">
      <c r="L878" s="173"/>
    </row>
    <row r="879">
      <c r="L879" s="173"/>
    </row>
    <row r="880">
      <c r="L880" s="173"/>
    </row>
    <row r="881">
      <c r="L881" s="173"/>
    </row>
    <row r="882">
      <c r="L882" s="173"/>
    </row>
    <row r="883">
      <c r="L883" s="173"/>
    </row>
    <row r="884">
      <c r="L884" s="173"/>
    </row>
    <row r="885">
      <c r="L885" s="173"/>
    </row>
    <row r="886">
      <c r="L886" s="173"/>
    </row>
    <row r="887">
      <c r="L887" s="173"/>
    </row>
    <row r="888">
      <c r="L888" s="173"/>
    </row>
    <row r="889">
      <c r="L889" s="173"/>
    </row>
    <row r="890">
      <c r="L890" s="173"/>
    </row>
    <row r="891">
      <c r="L891" s="173"/>
    </row>
    <row r="892">
      <c r="L892" s="173"/>
    </row>
    <row r="893">
      <c r="L893" s="173"/>
    </row>
    <row r="894">
      <c r="L894" s="173"/>
    </row>
    <row r="895">
      <c r="L895" s="173"/>
    </row>
    <row r="896">
      <c r="L896" s="173"/>
    </row>
    <row r="897">
      <c r="L897" s="173"/>
    </row>
    <row r="898">
      <c r="L898" s="173"/>
    </row>
    <row r="899">
      <c r="L899" s="173"/>
    </row>
    <row r="900">
      <c r="L900" s="173"/>
    </row>
    <row r="901">
      <c r="L901" s="173"/>
    </row>
    <row r="902">
      <c r="L902" s="173"/>
    </row>
    <row r="903">
      <c r="L903" s="173"/>
    </row>
    <row r="904">
      <c r="L904" s="173"/>
    </row>
    <row r="905">
      <c r="L905" s="173"/>
    </row>
    <row r="906">
      <c r="L906" s="173"/>
    </row>
    <row r="907">
      <c r="L907" s="173"/>
    </row>
    <row r="908">
      <c r="L908" s="173"/>
    </row>
    <row r="909">
      <c r="L909" s="173"/>
    </row>
    <row r="910">
      <c r="L910" s="173"/>
    </row>
    <row r="911">
      <c r="L911" s="173"/>
    </row>
    <row r="912">
      <c r="L912" s="173"/>
    </row>
    <row r="913">
      <c r="L913" s="173"/>
    </row>
    <row r="914">
      <c r="L914" s="173"/>
    </row>
    <row r="915">
      <c r="L915" s="173"/>
    </row>
    <row r="916">
      <c r="L916" s="173"/>
    </row>
    <row r="917">
      <c r="L917" s="173"/>
    </row>
    <row r="918">
      <c r="L918" s="173"/>
    </row>
    <row r="919">
      <c r="L919" s="173"/>
    </row>
    <row r="920">
      <c r="L920" s="173"/>
    </row>
    <row r="921">
      <c r="L921" s="173"/>
    </row>
    <row r="922">
      <c r="L922" s="173"/>
    </row>
    <row r="923">
      <c r="L923" s="173"/>
    </row>
    <row r="924">
      <c r="L924" s="173"/>
    </row>
    <row r="925">
      <c r="L925" s="173"/>
    </row>
    <row r="926">
      <c r="L926" s="173"/>
    </row>
    <row r="927">
      <c r="L927" s="173"/>
    </row>
    <row r="928">
      <c r="L928" s="173"/>
    </row>
    <row r="929">
      <c r="L929" s="173"/>
    </row>
    <row r="930">
      <c r="L930" s="173"/>
    </row>
    <row r="931">
      <c r="L931" s="173"/>
    </row>
    <row r="932">
      <c r="L932" s="173"/>
    </row>
    <row r="933">
      <c r="L933" s="173"/>
    </row>
    <row r="934">
      <c r="L934" s="173"/>
    </row>
    <row r="935">
      <c r="L935" s="173"/>
    </row>
    <row r="936">
      <c r="L936" s="173"/>
    </row>
    <row r="937">
      <c r="L937" s="173"/>
    </row>
    <row r="938">
      <c r="L938" s="173"/>
    </row>
    <row r="939">
      <c r="L939" s="173"/>
    </row>
    <row r="940">
      <c r="L940" s="173"/>
    </row>
    <row r="941">
      <c r="L941" s="173"/>
    </row>
    <row r="942">
      <c r="L942" s="173"/>
    </row>
    <row r="943">
      <c r="L943" s="173"/>
    </row>
    <row r="944">
      <c r="L944" s="173"/>
    </row>
    <row r="945">
      <c r="L945" s="173"/>
    </row>
    <row r="946">
      <c r="L946" s="173"/>
    </row>
    <row r="947">
      <c r="L947" s="173"/>
    </row>
    <row r="948">
      <c r="L948" s="173"/>
    </row>
    <row r="949">
      <c r="L949" s="173"/>
    </row>
    <row r="950">
      <c r="L950" s="173"/>
    </row>
    <row r="951">
      <c r="L951" s="173"/>
    </row>
    <row r="952">
      <c r="L952" s="173"/>
    </row>
    <row r="953">
      <c r="L953" s="173"/>
    </row>
    <row r="954">
      <c r="L954" s="173"/>
    </row>
    <row r="955">
      <c r="L955" s="173"/>
    </row>
    <row r="956">
      <c r="L956" s="173"/>
    </row>
    <row r="957">
      <c r="L957" s="173"/>
    </row>
    <row r="958">
      <c r="L958" s="173"/>
    </row>
    <row r="959">
      <c r="L959" s="173"/>
    </row>
    <row r="960">
      <c r="L960" s="173"/>
    </row>
    <row r="961">
      <c r="L961" s="173"/>
    </row>
    <row r="962">
      <c r="L962" s="173"/>
    </row>
    <row r="963">
      <c r="L963" s="173"/>
    </row>
    <row r="964">
      <c r="L964" s="173"/>
    </row>
    <row r="965">
      <c r="L965" s="173"/>
    </row>
    <row r="966">
      <c r="L966" s="173"/>
    </row>
    <row r="967">
      <c r="L967" s="173"/>
    </row>
    <row r="968">
      <c r="L968" s="173"/>
    </row>
    <row r="969">
      <c r="L969" s="173"/>
    </row>
    <row r="970">
      <c r="L970" s="173"/>
    </row>
    <row r="971">
      <c r="L971" s="173"/>
    </row>
    <row r="972">
      <c r="L972" s="173"/>
    </row>
    <row r="973">
      <c r="L973" s="173"/>
    </row>
    <row r="974">
      <c r="L974" s="173"/>
    </row>
    <row r="975">
      <c r="L975" s="173"/>
    </row>
    <row r="976">
      <c r="L976" s="173"/>
    </row>
    <row r="977">
      <c r="L977" s="173"/>
    </row>
    <row r="978">
      <c r="L978" s="173"/>
    </row>
    <row r="979">
      <c r="L979" s="173"/>
    </row>
    <row r="980">
      <c r="L980" s="173"/>
    </row>
    <row r="981">
      <c r="L981" s="173"/>
    </row>
    <row r="982">
      <c r="L982" s="173"/>
    </row>
    <row r="983">
      <c r="L983" s="173"/>
    </row>
    <row r="984">
      <c r="L984" s="173"/>
    </row>
    <row r="985">
      <c r="L985" s="173"/>
    </row>
    <row r="986">
      <c r="L986" s="173"/>
    </row>
    <row r="987">
      <c r="L987" s="173"/>
    </row>
    <row r="988">
      <c r="L988" s="173"/>
    </row>
    <row r="989">
      <c r="L989" s="173"/>
    </row>
    <row r="990">
      <c r="L990" s="173"/>
    </row>
    <row r="991">
      <c r="L991" s="173"/>
    </row>
    <row r="992">
      <c r="L992" s="173"/>
    </row>
    <row r="993">
      <c r="L993" s="173"/>
    </row>
    <row r="994">
      <c r="L994" s="173"/>
    </row>
    <row r="995">
      <c r="L995" s="173"/>
    </row>
    <row r="996">
      <c r="L996" s="173"/>
    </row>
    <row r="997">
      <c r="L997" s="173"/>
    </row>
    <row r="998">
      <c r="L998" s="173"/>
    </row>
    <row r="999">
      <c r="L999" s="173"/>
    </row>
    <row r="1000">
      <c r="L1000" s="173"/>
    </row>
  </sheetData>
  <mergeCells count="14">
    <mergeCell ref="D3:E3"/>
    <mergeCell ref="C35:F35"/>
    <mergeCell ref="H35:J35"/>
    <mergeCell ref="M35:N35"/>
    <mergeCell ref="O35:Q35"/>
    <mergeCell ref="M37:N37"/>
    <mergeCell ref="O37:Q37"/>
    <mergeCell ref="B1:D1"/>
    <mergeCell ref="E1:G1"/>
    <mergeCell ref="H1:I1"/>
    <mergeCell ref="J1:K1"/>
    <mergeCell ref="M1:N1"/>
    <mergeCell ref="O1:Q1"/>
    <mergeCell ref="F3:G3"/>
  </mergeCell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2" max="12" width="21.13"/>
    <col customWidth="1" min="14" max="14" width="23.13"/>
  </cols>
  <sheetData>
    <row r="1">
      <c r="A1" s="174"/>
      <c r="B1" s="175">
        <v>44865.0</v>
      </c>
      <c r="C1" s="4"/>
      <c r="D1" s="4"/>
      <c r="E1" s="176" t="s">
        <v>0</v>
      </c>
      <c r="H1" s="177" t="s">
        <v>1</v>
      </c>
      <c r="I1" s="4"/>
      <c r="J1" s="176" t="s">
        <v>2</v>
      </c>
      <c r="L1" s="179" t="s">
        <v>3</v>
      </c>
      <c r="M1" s="4"/>
      <c r="N1" s="176" t="s">
        <v>4</v>
      </c>
      <c r="Q1" s="104"/>
      <c r="R1" s="180"/>
    </row>
    <row r="2">
      <c r="A2" s="100"/>
      <c r="B2" s="100"/>
      <c r="C2" s="100"/>
      <c r="D2" s="100"/>
      <c r="E2" s="100"/>
      <c r="F2" s="100"/>
      <c r="G2" s="100"/>
      <c r="H2" s="100"/>
      <c r="I2" s="101"/>
      <c r="J2" s="100"/>
      <c r="K2" s="102"/>
      <c r="L2" s="100"/>
      <c r="M2" s="100"/>
      <c r="N2" s="100"/>
      <c r="O2" s="100"/>
      <c r="P2" s="100"/>
      <c r="Q2" s="104"/>
      <c r="R2" s="102"/>
    </row>
    <row r="3">
      <c r="A3" s="181" t="s">
        <v>5</v>
      </c>
      <c r="B3" s="182" t="s">
        <v>7</v>
      </c>
      <c r="C3" s="182" t="s">
        <v>8</v>
      </c>
      <c r="D3" s="183" t="s">
        <v>212</v>
      </c>
      <c r="E3" s="26"/>
      <c r="F3" s="184" t="s">
        <v>213</v>
      </c>
      <c r="G3" s="26"/>
      <c r="H3" s="182" t="s">
        <v>11</v>
      </c>
      <c r="I3" s="185" t="s">
        <v>12</v>
      </c>
      <c r="J3" s="182" t="s">
        <v>13</v>
      </c>
      <c r="K3" s="237" t="s">
        <v>214</v>
      </c>
      <c r="L3" s="188" t="s">
        <v>215</v>
      </c>
      <c r="M3" s="182" t="s">
        <v>216</v>
      </c>
      <c r="N3" s="188" t="s">
        <v>18</v>
      </c>
      <c r="O3" s="182" t="s">
        <v>217</v>
      </c>
      <c r="P3" s="182" t="s">
        <v>20</v>
      </c>
      <c r="Q3" s="189"/>
      <c r="R3" s="190" t="s">
        <v>21</v>
      </c>
      <c r="T3" s="191" t="s">
        <v>22</v>
      </c>
      <c r="U3" s="192" t="s">
        <v>23</v>
      </c>
      <c r="V3" s="104"/>
      <c r="W3" s="104"/>
    </row>
    <row r="4">
      <c r="A4" s="193" t="s">
        <v>25</v>
      </c>
      <c r="B4" s="194" t="s">
        <v>27</v>
      </c>
      <c r="C4" s="194" t="s">
        <v>28</v>
      </c>
      <c r="D4" s="194" t="s">
        <v>218</v>
      </c>
      <c r="E4" s="194" t="s">
        <v>219</v>
      </c>
      <c r="F4" s="194" t="s">
        <v>218</v>
      </c>
      <c r="G4" s="194" t="s">
        <v>219</v>
      </c>
      <c r="H4" s="194" t="s">
        <v>31</v>
      </c>
      <c r="I4" s="195" t="s">
        <v>32</v>
      </c>
      <c r="J4" s="196">
        <v>1994.0</v>
      </c>
      <c r="K4" s="238">
        <v>29758.0</v>
      </c>
      <c r="L4" s="198" t="s">
        <v>34</v>
      </c>
      <c r="M4" s="194" t="s">
        <v>35</v>
      </c>
      <c r="N4" s="198" t="s">
        <v>36</v>
      </c>
      <c r="O4" s="199">
        <v>85855.0</v>
      </c>
      <c r="P4" s="194">
        <v>1.0</v>
      </c>
      <c r="Q4" s="207"/>
      <c r="R4" s="201">
        <v>45314.0</v>
      </c>
      <c r="T4" s="202">
        <f t="shared" ref="T4:T31" si="1">(R4-K4)/365</f>
        <v>42.61917808</v>
      </c>
      <c r="U4" s="203">
        <f t="shared" ref="U4:U31" si="2">(TODAY()-K4)/365</f>
        <v>45.09589041</v>
      </c>
      <c r="V4" s="189"/>
      <c r="W4" s="104"/>
    </row>
    <row r="5">
      <c r="A5" s="193" t="s">
        <v>25</v>
      </c>
      <c r="B5" s="194" t="s">
        <v>27</v>
      </c>
      <c r="C5" s="194" t="s">
        <v>28</v>
      </c>
      <c r="D5" s="194" t="s">
        <v>218</v>
      </c>
      <c r="E5" s="194" t="s">
        <v>219</v>
      </c>
      <c r="F5" s="194" t="s">
        <v>218</v>
      </c>
      <c r="G5" s="194" t="s">
        <v>219</v>
      </c>
      <c r="H5" s="194" t="s">
        <v>31</v>
      </c>
      <c r="I5" s="195" t="s">
        <v>208</v>
      </c>
      <c r="J5" s="194" t="s">
        <v>42</v>
      </c>
      <c r="K5" s="239">
        <v>25114.0</v>
      </c>
      <c r="L5" s="198" t="s">
        <v>210</v>
      </c>
      <c r="M5" s="194" t="s">
        <v>56</v>
      </c>
      <c r="N5" s="198" t="s">
        <v>211</v>
      </c>
      <c r="O5" s="199">
        <v>699652.0</v>
      </c>
      <c r="P5" s="194">
        <f t="shared" ref="P5:P31" si="3">P4+1</f>
        <v>2</v>
      </c>
      <c r="Q5" s="207"/>
      <c r="R5" s="201">
        <v>45314.0</v>
      </c>
      <c r="T5" s="202">
        <f t="shared" si="1"/>
        <v>55.34246575</v>
      </c>
      <c r="U5" s="203">
        <f t="shared" si="2"/>
        <v>57.81917808</v>
      </c>
      <c r="V5" s="104"/>
      <c r="W5" s="104"/>
    </row>
    <row r="6">
      <c r="A6" s="193" t="s">
        <v>25</v>
      </c>
      <c r="B6" s="194" t="s">
        <v>47</v>
      </c>
      <c r="C6" s="194" t="s">
        <v>220</v>
      </c>
      <c r="D6" s="194" t="s">
        <v>40</v>
      </c>
      <c r="E6" s="194" t="s">
        <v>219</v>
      </c>
      <c r="F6" s="194" t="s">
        <v>218</v>
      </c>
      <c r="G6" s="194" t="s">
        <v>219</v>
      </c>
      <c r="H6" s="194" t="s">
        <v>41</v>
      </c>
      <c r="I6" s="205">
        <v>0.0</v>
      </c>
      <c r="J6" s="194" t="s">
        <v>42</v>
      </c>
      <c r="K6" s="238">
        <v>29102.0</v>
      </c>
      <c r="L6" s="198" t="s">
        <v>128</v>
      </c>
      <c r="M6" s="194" t="s">
        <v>35</v>
      </c>
      <c r="N6" s="198" t="s">
        <v>129</v>
      </c>
      <c r="O6" s="194">
        <v>697263.0</v>
      </c>
      <c r="P6" s="194">
        <f t="shared" si="3"/>
        <v>3</v>
      </c>
      <c r="Q6" s="207"/>
      <c r="R6" s="201">
        <v>45314.0</v>
      </c>
      <c r="T6" s="202">
        <f t="shared" si="1"/>
        <v>44.41643836</v>
      </c>
      <c r="U6" s="203">
        <f t="shared" si="2"/>
        <v>46.89315068</v>
      </c>
      <c r="V6" s="189"/>
      <c r="W6" s="104"/>
    </row>
    <row r="7">
      <c r="A7" s="193" t="s">
        <v>25</v>
      </c>
      <c r="B7" s="194" t="s">
        <v>53</v>
      </c>
      <c r="C7" s="206" t="s">
        <v>221</v>
      </c>
      <c r="D7" s="194" t="s">
        <v>218</v>
      </c>
      <c r="E7" s="194" t="s">
        <v>219</v>
      </c>
      <c r="F7" s="194" t="s">
        <v>218</v>
      </c>
      <c r="G7" s="194" t="s">
        <v>219</v>
      </c>
      <c r="H7" s="194" t="s">
        <v>131</v>
      </c>
      <c r="I7" s="195" t="s">
        <v>132</v>
      </c>
      <c r="J7" s="194" t="s">
        <v>42</v>
      </c>
      <c r="K7" s="239">
        <v>17036.0</v>
      </c>
      <c r="L7" s="198" t="s">
        <v>134</v>
      </c>
      <c r="M7" s="194" t="s">
        <v>56</v>
      </c>
      <c r="N7" s="198" t="s">
        <v>128</v>
      </c>
      <c r="O7" s="194">
        <v>633202.0</v>
      </c>
      <c r="P7" s="194">
        <f t="shared" si="3"/>
        <v>4</v>
      </c>
      <c r="Q7" s="207"/>
      <c r="R7" s="201">
        <v>45314.0</v>
      </c>
      <c r="T7" s="202">
        <f t="shared" si="1"/>
        <v>77.4739726</v>
      </c>
      <c r="U7" s="203">
        <f t="shared" si="2"/>
        <v>79.95068493</v>
      </c>
      <c r="V7" s="104"/>
      <c r="W7" s="104"/>
    </row>
    <row r="8">
      <c r="A8" s="193" t="s">
        <v>37</v>
      </c>
      <c r="B8" s="194" t="s">
        <v>75</v>
      </c>
      <c r="C8" s="194" t="s">
        <v>221</v>
      </c>
      <c r="D8" s="194" t="s">
        <v>40</v>
      </c>
      <c r="E8" s="194" t="s">
        <v>219</v>
      </c>
      <c r="F8" s="194" t="s">
        <v>218</v>
      </c>
      <c r="G8" s="194" t="s">
        <v>219</v>
      </c>
      <c r="H8" s="194" t="s">
        <v>48</v>
      </c>
      <c r="I8" s="205">
        <v>0.0</v>
      </c>
      <c r="J8" s="194" t="s">
        <v>42</v>
      </c>
      <c r="K8" s="239">
        <v>19489.0</v>
      </c>
      <c r="L8" s="198" t="s">
        <v>137</v>
      </c>
      <c r="M8" s="194" t="s">
        <v>56</v>
      </c>
      <c r="N8" s="198" t="s">
        <v>138</v>
      </c>
      <c r="O8" s="194">
        <v>690594.0</v>
      </c>
      <c r="P8" s="194">
        <f t="shared" si="3"/>
        <v>5</v>
      </c>
      <c r="Q8" s="207"/>
      <c r="R8" s="201">
        <v>45314.0</v>
      </c>
      <c r="T8" s="202">
        <f t="shared" si="1"/>
        <v>70.75342466</v>
      </c>
      <c r="U8" s="203">
        <f t="shared" si="2"/>
        <v>73.23013699</v>
      </c>
      <c r="V8" s="104"/>
      <c r="W8" s="104"/>
    </row>
    <row r="9">
      <c r="A9" s="193" t="s">
        <v>37</v>
      </c>
      <c r="B9" s="194" t="s">
        <v>27</v>
      </c>
      <c r="C9" s="194" t="s">
        <v>220</v>
      </c>
      <c r="D9" s="194" t="s">
        <v>40</v>
      </c>
      <c r="E9" s="194" t="s">
        <v>219</v>
      </c>
      <c r="F9" s="194" t="s">
        <v>218</v>
      </c>
      <c r="G9" s="194" t="s">
        <v>219</v>
      </c>
      <c r="H9" s="194" t="s">
        <v>41</v>
      </c>
      <c r="I9" s="205">
        <v>0.0</v>
      </c>
      <c r="J9" s="194" t="s">
        <v>42</v>
      </c>
      <c r="K9" s="238">
        <v>26511.0</v>
      </c>
      <c r="L9" s="198" t="s">
        <v>44</v>
      </c>
      <c r="M9" s="194" t="s">
        <v>35</v>
      </c>
      <c r="N9" s="198" t="s">
        <v>45</v>
      </c>
      <c r="O9" s="194">
        <v>629409.0</v>
      </c>
      <c r="P9" s="194">
        <f t="shared" si="3"/>
        <v>6</v>
      </c>
      <c r="Q9" s="207"/>
      <c r="R9" s="201">
        <v>45314.0</v>
      </c>
      <c r="T9" s="202">
        <f t="shared" si="1"/>
        <v>51.51506849</v>
      </c>
      <c r="U9" s="203">
        <f t="shared" si="2"/>
        <v>53.99178082</v>
      </c>
      <c r="V9" s="189"/>
      <c r="W9" s="104"/>
    </row>
    <row r="10">
      <c r="A10" s="193" t="s">
        <v>37</v>
      </c>
      <c r="B10" s="194" t="s">
        <v>47</v>
      </c>
      <c r="C10" s="194" t="s">
        <v>220</v>
      </c>
      <c r="D10" s="194" t="s">
        <v>40</v>
      </c>
      <c r="E10" s="194" t="s">
        <v>219</v>
      </c>
      <c r="F10" s="194" t="s">
        <v>218</v>
      </c>
      <c r="G10" s="194" t="s">
        <v>219</v>
      </c>
      <c r="H10" s="194" t="s">
        <v>48</v>
      </c>
      <c r="I10" s="205">
        <v>0.0</v>
      </c>
      <c r="J10" s="194" t="s">
        <v>42</v>
      </c>
      <c r="K10" s="239">
        <v>27595.0</v>
      </c>
      <c r="L10" s="198" t="s">
        <v>50</v>
      </c>
      <c r="M10" s="194" t="s">
        <v>35</v>
      </c>
      <c r="N10" s="198" t="s">
        <v>51</v>
      </c>
      <c r="O10" s="194">
        <v>691771.0</v>
      </c>
      <c r="P10" s="194">
        <f t="shared" si="3"/>
        <v>7</v>
      </c>
      <c r="Q10" s="207"/>
      <c r="R10" s="201">
        <v>45314.0</v>
      </c>
      <c r="T10" s="202">
        <f t="shared" si="1"/>
        <v>48.54520548</v>
      </c>
      <c r="U10" s="203">
        <f t="shared" si="2"/>
        <v>51.02191781</v>
      </c>
      <c r="V10" s="189"/>
      <c r="W10" s="104"/>
    </row>
    <row r="11">
      <c r="A11" s="193" t="s">
        <v>25</v>
      </c>
      <c r="B11" s="194" t="s">
        <v>53</v>
      </c>
      <c r="C11" s="194" t="s">
        <v>140</v>
      </c>
      <c r="D11" s="194" t="s">
        <v>40</v>
      </c>
      <c r="E11" s="194" t="s">
        <v>219</v>
      </c>
      <c r="F11" s="194" t="s">
        <v>218</v>
      </c>
      <c r="G11" s="194" t="s">
        <v>219</v>
      </c>
      <c r="H11" s="194" t="s">
        <v>48</v>
      </c>
      <c r="I11" s="195" t="s">
        <v>141</v>
      </c>
      <c r="J11" s="194" t="s">
        <v>42</v>
      </c>
      <c r="K11" s="239">
        <v>21596.0</v>
      </c>
      <c r="L11" s="198" t="s">
        <v>143</v>
      </c>
      <c r="M11" s="194" t="s">
        <v>56</v>
      </c>
      <c r="N11" s="198" t="s">
        <v>204</v>
      </c>
      <c r="O11" s="194">
        <v>600898.0</v>
      </c>
      <c r="P11" s="194">
        <f t="shared" si="3"/>
        <v>8</v>
      </c>
      <c r="Q11" s="207"/>
      <c r="R11" s="201">
        <v>45314.0</v>
      </c>
      <c r="T11" s="202">
        <f t="shared" si="1"/>
        <v>64.98082192</v>
      </c>
      <c r="U11" s="203">
        <f t="shared" si="2"/>
        <v>67.45753425</v>
      </c>
      <c r="V11" s="104"/>
      <c r="W11" s="104"/>
    </row>
    <row r="12">
      <c r="A12" s="193" t="s">
        <v>25</v>
      </c>
      <c r="B12" s="194" t="s">
        <v>53</v>
      </c>
      <c r="C12" s="194" t="s">
        <v>221</v>
      </c>
      <c r="D12" s="194" t="s">
        <v>218</v>
      </c>
      <c r="E12" s="194" t="s">
        <v>219</v>
      </c>
      <c r="F12" s="194" t="s">
        <v>218</v>
      </c>
      <c r="G12" s="194" t="s">
        <v>219</v>
      </c>
      <c r="H12" s="194" t="s">
        <v>31</v>
      </c>
      <c r="I12" s="208"/>
      <c r="J12" s="194" t="s">
        <v>42</v>
      </c>
      <c r="K12" s="239">
        <v>12965.0</v>
      </c>
      <c r="L12" s="198" t="s">
        <v>147</v>
      </c>
      <c r="M12" s="194" t="s">
        <v>56</v>
      </c>
      <c r="N12" s="198" t="s">
        <v>148</v>
      </c>
      <c r="O12" s="194">
        <v>626871.0</v>
      </c>
      <c r="P12" s="194">
        <f t="shared" si="3"/>
        <v>9</v>
      </c>
      <c r="Q12" s="207"/>
      <c r="R12" s="201">
        <v>45314.0</v>
      </c>
      <c r="T12" s="202">
        <f t="shared" si="1"/>
        <v>88.62739726</v>
      </c>
      <c r="U12" s="203">
        <f t="shared" si="2"/>
        <v>91.10410959</v>
      </c>
      <c r="V12" s="104"/>
      <c r="W12" s="104"/>
    </row>
    <row r="13">
      <c r="A13" s="193" t="s">
        <v>25</v>
      </c>
      <c r="B13" s="194" t="s">
        <v>53</v>
      </c>
      <c r="C13" s="206" t="s">
        <v>221</v>
      </c>
      <c r="D13" s="194" t="s">
        <v>40</v>
      </c>
      <c r="E13" s="194" t="s">
        <v>219</v>
      </c>
      <c r="F13" s="194" t="s">
        <v>218</v>
      </c>
      <c r="G13" s="194" t="s">
        <v>219</v>
      </c>
      <c r="H13" s="194" t="s">
        <v>41</v>
      </c>
      <c r="I13" s="208"/>
      <c r="J13" s="194" t="s">
        <v>42</v>
      </c>
      <c r="K13" s="239">
        <v>17434.0</v>
      </c>
      <c r="L13" s="198" t="s">
        <v>55</v>
      </c>
      <c r="M13" s="194" t="s">
        <v>56</v>
      </c>
      <c r="N13" s="198" t="s">
        <v>50</v>
      </c>
      <c r="O13" s="196">
        <v>600790.0</v>
      </c>
      <c r="P13" s="194">
        <f t="shared" si="3"/>
        <v>10</v>
      </c>
      <c r="Q13" s="207"/>
      <c r="R13" s="201">
        <v>45314.0</v>
      </c>
      <c r="T13" s="202">
        <f t="shared" si="1"/>
        <v>76.38356164</v>
      </c>
      <c r="U13" s="203">
        <f t="shared" si="2"/>
        <v>78.86027397</v>
      </c>
      <c r="V13" s="104"/>
      <c r="W13" s="104"/>
    </row>
    <row r="14">
      <c r="A14" s="193" t="s">
        <v>25</v>
      </c>
      <c r="B14" s="194" t="s">
        <v>53</v>
      </c>
      <c r="C14" s="194" t="s">
        <v>220</v>
      </c>
      <c r="D14" s="194" t="s">
        <v>40</v>
      </c>
      <c r="E14" s="194" t="s">
        <v>219</v>
      </c>
      <c r="F14" s="194" t="s">
        <v>218</v>
      </c>
      <c r="G14" s="194" t="s">
        <v>219</v>
      </c>
      <c r="H14" s="194" t="s">
        <v>41</v>
      </c>
      <c r="I14" s="209" t="s">
        <v>150</v>
      </c>
      <c r="J14" s="194" t="s">
        <v>42</v>
      </c>
      <c r="K14" s="238">
        <v>26988.0</v>
      </c>
      <c r="L14" s="198" t="s">
        <v>148</v>
      </c>
      <c r="M14" s="194" t="s">
        <v>35</v>
      </c>
      <c r="N14" s="198" t="s">
        <v>152</v>
      </c>
      <c r="O14" s="194">
        <v>629430.0</v>
      </c>
      <c r="P14" s="194">
        <f t="shared" si="3"/>
        <v>11</v>
      </c>
      <c r="Q14" s="207"/>
      <c r="R14" s="201">
        <v>45314.0</v>
      </c>
      <c r="T14" s="202">
        <f t="shared" si="1"/>
        <v>50.20821918</v>
      </c>
      <c r="U14" s="203">
        <f t="shared" si="2"/>
        <v>52.68493151</v>
      </c>
      <c r="V14" s="189"/>
      <c r="W14" s="104"/>
    </row>
    <row r="15">
      <c r="A15" s="193" t="s">
        <v>25</v>
      </c>
      <c r="B15" s="210"/>
      <c r="C15" s="194" t="s">
        <v>140</v>
      </c>
      <c r="D15" s="194" t="s">
        <v>40</v>
      </c>
      <c r="E15" s="194" t="s">
        <v>219</v>
      </c>
      <c r="F15" s="194" t="s">
        <v>218</v>
      </c>
      <c r="G15" s="194" t="s">
        <v>219</v>
      </c>
      <c r="H15" s="194" t="s">
        <v>154</v>
      </c>
      <c r="I15" s="211" t="s">
        <v>155</v>
      </c>
      <c r="J15" s="194" t="s">
        <v>42</v>
      </c>
      <c r="K15" s="238">
        <v>29319.0</v>
      </c>
      <c r="L15" s="198" t="s">
        <v>157</v>
      </c>
      <c r="M15" s="194" t="s">
        <v>35</v>
      </c>
      <c r="N15" s="198" t="s">
        <v>158</v>
      </c>
      <c r="O15" s="194">
        <v>73236.0</v>
      </c>
      <c r="P15" s="194">
        <f t="shared" si="3"/>
        <v>12</v>
      </c>
      <c r="Q15" s="207"/>
      <c r="R15" s="201">
        <v>45314.0</v>
      </c>
      <c r="T15" s="202">
        <f t="shared" si="1"/>
        <v>43.82191781</v>
      </c>
      <c r="U15" s="203">
        <f t="shared" si="2"/>
        <v>46.29863014</v>
      </c>
      <c r="V15" s="189"/>
      <c r="W15" s="104"/>
    </row>
    <row r="16">
      <c r="A16" s="193" t="s">
        <v>25</v>
      </c>
      <c r="B16" s="194" t="s">
        <v>53</v>
      </c>
      <c r="C16" s="194" t="s">
        <v>221</v>
      </c>
      <c r="D16" s="194" t="s">
        <v>40</v>
      </c>
      <c r="E16" s="194" t="s">
        <v>219</v>
      </c>
      <c r="F16" s="194" t="s">
        <v>218</v>
      </c>
      <c r="G16" s="194" t="s">
        <v>219</v>
      </c>
      <c r="H16" s="194" t="s">
        <v>48</v>
      </c>
      <c r="I16" s="208"/>
      <c r="J16" s="194" t="s">
        <v>42</v>
      </c>
      <c r="K16" s="239">
        <v>23484.0</v>
      </c>
      <c r="L16" s="198" t="s">
        <v>206</v>
      </c>
      <c r="M16" s="194" t="s">
        <v>56</v>
      </c>
      <c r="N16" s="198" t="s">
        <v>207</v>
      </c>
      <c r="O16" s="194">
        <v>629439.0</v>
      </c>
      <c r="P16" s="194">
        <f t="shared" si="3"/>
        <v>13</v>
      </c>
      <c r="Q16" s="207"/>
      <c r="R16" s="201">
        <v>45314.0</v>
      </c>
      <c r="T16" s="202">
        <f t="shared" si="1"/>
        <v>59.80821918</v>
      </c>
      <c r="U16" s="203">
        <f t="shared" si="2"/>
        <v>62.28493151</v>
      </c>
      <c r="V16" s="104"/>
      <c r="W16" s="104"/>
    </row>
    <row r="17">
      <c r="A17" s="193" t="s">
        <v>25</v>
      </c>
      <c r="B17" s="194" t="s">
        <v>75</v>
      </c>
      <c r="C17" s="194" t="s">
        <v>220</v>
      </c>
      <c r="D17" s="194" t="s">
        <v>40</v>
      </c>
      <c r="E17" s="194" t="s">
        <v>219</v>
      </c>
      <c r="F17" s="194" t="s">
        <v>218</v>
      </c>
      <c r="G17" s="194" t="s">
        <v>219</v>
      </c>
      <c r="H17" s="194" t="s">
        <v>41</v>
      </c>
      <c r="I17" s="208"/>
      <c r="J17" s="194" t="s">
        <v>42</v>
      </c>
      <c r="K17" s="238">
        <v>29895.0</v>
      </c>
      <c r="L17" s="198" t="s">
        <v>161</v>
      </c>
      <c r="M17" s="194" t="s">
        <v>35</v>
      </c>
      <c r="N17" s="198" t="s">
        <v>162</v>
      </c>
      <c r="O17" s="194">
        <v>698781.0</v>
      </c>
      <c r="P17" s="194">
        <f t="shared" si="3"/>
        <v>14</v>
      </c>
      <c r="Q17" s="207"/>
      <c r="R17" s="201">
        <v>45314.0</v>
      </c>
      <c r="T17" s="202">
        <f t="shared" si="1"/>
        <v>42.24383562</v>
      </c>
      <c r="U17" s="203">
        <f t="shared" si="2"/>
        <v>44.72054795</v>
      </c>
      <c r="V17" s="189"/>
      <c r="W17" s="104"/>
    </row>
    <row r="18">
      <c r="A18" s="193" t="s">
        <v>25</v>
      </c>
      <c r="B18" s="194" t="s">
        <v>27</v>
      </c>
      <c r="C18" s="206" t="s">
        <v>221</v>
      </c>
      <c r="D18" s="194" t="s">
        <v>40</v>
      </c>
      <c r="E18" s="194" t="s">
        <v>219</v>
      </c>
      <c r="F18" s="194" t="s">
        <v>218</v>
      </c>
      <c r="G18" s="194" t="s">
        <v>219</v>
      </c>
      <c r="H18" s="194" t="s">
        <v>48</v>
      </c>
      <c r="I18" s="195" t="s">
        <v>164</v>
      </c>
      <c r="J18" s="194" t="s">
        <v>42</v>
      </c>
      <c r="K18" s="238">
        <v>21551.0</v>
      </c>
      <c r="L18" s="198" t="s">
        <v>80</v>
      </c>
      <c r="M18" s="194" t="s">
        <v>56</v>
      </c>
      <c r="N18" s="198" t="s">
        <v>166</v>
      </c>
      <c r="O18" s="194">
        <v>697260.0</v>
      </c>
      <c r="P18" s="194">
        <f t="shared" si="3"/>
        <v>15</v>
      </c>
      <c r="Q18" s="207"/>
      <c r="R18" s="201">
        <v>45314.0</v>
      </c>
      <c r="T18" s="202">
        <f t="shared" si="1"/>
        <v>65.10410959</v>
      </c>
      <c r="U18" s="203">
        <f t="shared" si="2"/>
        <v>67.58082192</v>
      </c>
      <c r="V18" s="104"/>
      <c r="W18" s="104"/>
    </row>
    <row r="19">
      <c r="A19" s="193" t="s">
        <v>25</v>
      </c>
      <c r="B19" s="194" t="s">
        <v>27</v>
      </c>
      <c r="C19" s="206" t="s">
        <v>221</v>
      </c>
      <c r="D19" s="194" t="s">
        <v>40</v>
      </c>
      <c r="E19" s="194" t="s">
        <v>219</v>
      </c>
      <c r="F19" s="194" t="s">
        <v>218</v>
      </c>
      <c r="G19" s="194" t="s">
        <v>219</v>
      </c>
      <c r="H19" s="212" t="s">
        <v>58</v>
      </c>
      <c r="I19" s="208"/>
      <c r="J19" s="194" t="s">
        <v>42</v>
      </c>
      <c r="K19" s="239">
        <v>20261.0</v>
      </c>
      <c r="L19" s="198" t="s">
        <v>60</v>
      </c>
      <c r="M19" s="194" t="s">
        <v>56</v>
      </c>
      <c r="N19" s="198" t="s">
        <v>61</v>
      </c>
      <c r="O19" s="194">
        <v>696347.0</v>
      </c>
      <c r="P19" s="194">
        <f t="shared" si="3"/>
        <v>16</v>
      </c>
      <c r="Q19" s="207"/>
      <c r="R19" s="201">
        <v>45314.0</v>
      </c>
      <c r="T19" s="202">
        <f t="shared" si="1"/>
        <v>68.63835616</v>
      </c>
      <c r="U19" s="203">
        <f t="shared" si="2"/>
        <v>71.11506849</v>
      </c>
      <c r="V19" s="104"/>
      <c r="W19" s="104"/>
    </row>
    <row r="20">
      <c r="A20" s="193" t="s">
        <v>25</v>
      </c>
      <c r="B20" s="196" t="s">
        <v>168</v>
      </c>
      <c r="C20" s="194" t="s">
        <v>220</v>
      </c>
      <c r="D20" s="194" t="s">
        <v>40</v>
      </c>
      <c r="E20" s="194" t="s">
        <v>219</v>
      </c>
      <c r="F20" s="194" t="s">
        <v>218</v>
      </c>
      <c r="G20" s="194" t="s">
        <v>219</v>
      </c>
      <c r="H20" s="194" t="s">
        <v>41</v>
      </c>
      <c r="I20" s="208"/>
      <c r="J20" s="194" t="s">
        <v>42</v>
      </c>
      <c r="K20" s="239">
        <v>27784.0</v>
      </c>
      <c r="L20" s="198" t="s">
        <v>170</v>
      </c>
      <c r="M20" s="194" t="s">
        <v>35</v>
      </c>
      <c r="N20" s="198" t="s">
        <v>171</v>
      </c>
      <c r="O20" s="194">
        <v>697262.0</v>
      </c>
      <c r="P20" s="194">
        <f t="shared" si="3"/>
        <v>17</v>
      </c>
      <c r="Q20" s="207"/>
      <c r="R20" s="201">
        <v>45314.0</v>
      </c>
      <c r="T20" s="202">
        <f t="shared" si="1"/>
        <v>48.02739726</v>
      </c>
      <c r="U20" s="203">
        <f t="shared" si="2"/>
        <v>50.50410959</v>
      </c>
      <c r="V20" s="189"/>
      <c r="W20" s="104"/>
    </row>
    <row r="21">
      <c r="A21" s="193" t="s">
        <v>25</v>
      </c>
      <c r="B21" s="194" t="s">
        <v>53</v>
      </c>
      <c r="C21" s="194" t="s">
        <v>221</v>
      </c>
      <c r="D21" s="194" t="s">
        <v>40</v>
      </c>
      <c r="E21" s="194" t="s">
        <v>219</v>
      </c>
      <c r="F21" s="194" t="s">
        <v>218</v>
      </c>
      <c r="G21" s="194" t="s">
        <v>219</v>
      </c>
      <c r="H21" s="194" t="s">
        <v>63</v>
      </c>
      <c r="I21" s="195" t="s">
        <v>64</v>
      </c>
      <c r="J21" s="194" t="s">
        <v>42</v>
      </c>
      <c r="K21" s="239">
        <v>19786.0</v>
      </c>
      <c r="L21" s="198" t="s">
        <v>66</v>
      </c>
      <c r="M21" s="194" t="s">
        <v>56</v>
      </c>
      <c r="N21" s="198" t="s">
        <v>67</v>
      </c>
      <c r="O21" s="194">
        <v>633185.0</v>
      </c>
      <c r="P21" s="194">
        <f t="shared" si="3"/>
        <v>18</v>
      </c>
      <c r="Q21" s="207"/>
      <c r="R21" s="201">
        <v>45314.0</v>
      </c>
      <c r="T21" s="202">
        <f t="shared" si="1"/>
        <v>69.93972603</v>
      </c>
      <c r="U21" s="203">
        <f t="shared" si="2"/>
        <v>72.41643836</v>
      </c>
      <c r="V21" s="104"/>
      <c r="W21" s="104"/>
    </row>
    <row r="22">
      <c r="A22" s="193" t="s">
        <v>25</v>
      </c>
      <c r="B22" s="194" t="s">
        <v>69</v>
      </c>
      <c r="C22" s="194" t="s">
        <v>220</v>
      </c>
      <c r="D22" s="194" t="s">
        <v>40</v>
      </c>
      <c r="E22" s="194" t="s">
        <v>219</v>
      </c>
      <c r="F22" s="194" t="s">
        <v>218</v>
      </c>
      <c r="G22" s="194" t="s">
        <v>219</v>
      </c>
      <c r="H22" s="194" t="s">
        <v>48</v>
      </c>
      <c r="I22" s="208"/>
      <c r="J22" s="194" t="s">
        <v>42</v>
      </c>
      <c r="K22" s="239">
        <v>23531.0</v>
      </c>
      <c r="L22" s="198" t="s">
        <v>72</v>
      </c>
      <c r="M22" s="194" t="s">
        <v>56</v>
      </c>
      <c r="N22" s="198" t="s">
        <v>73</v>
      </c>
      <c r="O22" s="194">
        <v>626887.0</v>
      </c>
      <c r="P22" s="194">
        <f t="shared" si="3"/>
        <v>19</v>
      </c>
      <c r="Q22" s="207"/>
      <c r="R22" s="201">
        <v>45314.0</v>
      </c>
      <c r="T22" s="202">
        <f t="shared" si="1"/>
        <v>59.67945205</v>
      </c>
      <c r="U22" s="203">
        <f t="shared" si="2"/>
        <v>62.15616438</v>
      </c>
      <c r="V22" s="104"/>
      <c r="W22" s="104"/>
    </row>
    <row r="23">
      <c r="A23" s="193" t="s">
        <v>25</v>
      </c>
      <c r="B23" s="194" t="s">
        <v>27</v>
      </c>
      <c r="C23" s="194" t="s">
        <v>221</v>
      </c>
      <c r="D23" s="194" t="s">
        <v>40</v>
      </c>
      <c r="E23" s="194" t="s">
        <v>219</v>
      </c>
      <c r="F23" s="194" t="s">
        <v>218</v>
      </c>
      <c r="G23" s="194" t="s">
        <v>219</v>
      </c>
      <c r="H23" s="194" t="s">
        <v>48</v>
      </c>
      <c r="I23" s="208"/>
      <c r="J23" s="194" t="s">
        <v>42</v>
      </c>
      <c r="K23" s="238">
        <v>19299.0</v>
      </c>
      <c r="L23" s="198" t="s">
        <v>174</v>
      </c>
      <c r="M23" s="194" t="s">
        <v>56</v>
      </c>
      <c r="N23" s="198" t="s">
        <v>175</v>
      </c>
      <c r="O23" s="194">
        <v>629414.0</v>
      </c>
      <c r="P23" s="194">
        <f t="shared" si="3"/>
        <v>20</v>
      </c>
      <c r="Q23" s="207"/>
      <c r="R23" s="201">
        <v>45314.0</v>
      </c>
      <c r="T23" s="202">
        <f t="shared" si="1"/>
        <v>71.2739726</v>
      </c>
      <c r="U23" s="203">
        <f t="shared" si="2"/>
        <v>73.75068493</v>
      </c>
      <c r="V23" s="104"/>
      <c r="W23" s="104"/>
    </row>
    <row r="24">
      <c r="A24" s="193" t="s">
        <v>25</v>
      </c>
      <c r="B24" s="194" t="s">
        <v>47</v>
      </c>
      <c r="C24" s="194" t="s">
        <v>220</v>
      </c>
      <c r="D24" s="194" t="s">
        <v>218</v>
      </c>
      <c r="E24" s="194" t="s">
        <v>219</v>
      </c>
      <c r="F24" s="194" t="s">
        <v>218</v>
      </c>
      <c r="G24" s="194" t="s">
        <v>219</v>
      </c>
      <c r="H24" s="194" t="s">
        <v>63</v>
      </c>
      <c r="I24" s="211" t="s">
        <v>177</v>
      </c>
      <c r="J24" s="194" t="s">
        <v>42</v>
      </c>
      <c r="K24" s="239">
        <v>22526.0</v>
      </c>
      <c r="L24" s="198" t="s">
        <v>179</v>
      </c>
      <c r="M24" s="194" t="s">
        <v>56</v>
      </c>
      <c r="N24" s="198" t="s">
        <v>180</v>
      </c>
      <c r="O24" s="194">
        <v>626872.0</v>
      </c>
      <c r="P24" s="194">
        <f t="shared" si="3"/>
        <v>21</v>
      </c>
      <c r="Q24" s="207"/>
      <c r="R24" s="201">
        <v>45314.0</v>
      </c>
      <c r="T24" s="202">
        <f t="shared" si="1"/>
        <v>62.43287671</v>
      </c>
      <c r="U24" s="203">
        <f t="shared" si="2"/>
        <v>64.90958904</v>
      </c>
      <c r="V24" s="104"/>
      <c r="W24" s="104"/>
    </row>
    <row r="25">
      <c r="A25" s="213" t="s">
        <v>25</v>
      </c>
      <c r="B25" s="194" t="s">
        <v>27</v>
      </c>
      <c r="C25" s="214" t="s">
        <v>221</v>
      </c>
      <c r="D25" s="213" t="s">
        <v>40</v>
      </c>
      <c r="E25" s="213" t="s">
        <v>219</v>
      </c>
      <c r="F25" s="213" t="s">
        <v>218</v>
      </c>
      <c r="G25" s="213" t="s">
        <v>219</v>
      </c>
      <c r="H25" s="213" t="s">
        <v>48</v>
      </c>
      <c r="I25" s="215"/>
      <c r="J25" s="213" t="s">
        <v>42</v>
      </c>
      <c r="K25" s="240">
        <v>27546.0</v>
      </c>
      <c r="L25" s="218" t="s">
        <v>182</v>
      </c>
      <c r="M25" s="213" t="s">
        <v>35</v>
      </c>
      <c r="N25" s="218" t="s">
        <v>183</v>
      </c>
      <c r="O25" s="213">
        <v>696346.0</v>
      </c>
      <c r="P25" s="213">
        <f t="shared" si="3"/>
        <v>22</v>
      </c>
      <c r="Q25" s="207"/>
      <c r="R25" s="201">
        <v>45314.0</v>
      </c>
      <c r="T25" s="202">
        <f t="shared" si="1"/>
        <v>48.67945205</v>
      </c>
      <c r="U25" s="203">
        <f t="shared" si="2"/>
        <v>51.15616438</v>
      </c>
      <c r="V25" s="189"/>
      <c r="W25" s="104"/>
    </row>
    <row r="26">
      <c r="A26" s="213" t="s">
        <v>25</v>
      </c>
      <c r="B26" s="219" t="s">
        <v>75</v>
      </c>
      <c r="C26" s="213" t="s">
        <v>140</v>
      </c>
      <c r="D26" s="213" t="s">
        <v>40</v>
      </c>
      <c r="E26" s="213" t="s">
        <v>219</v>
      </c>
      <c r="F26" s="213" t="s">
        <v>218</v>
      </c>
      <c r="G26" s="213" t="s">
        <v>219</v>
      </c>
      <c r="H26" s="213" t="s">
        <v>41</v>
      </c>
      <c r="I26" s="211" t="s">
        <v>77</v>
      </c>
      <c r="J26" s="213" t="s">
        <v>42</v>
      </c>
      <c r="K26" s="241">
        <v>30189.0</v>
      </c>
      <c r="L26" s="218" t="s">
        <v>79</v>
      </c>
      <c r="M26" s="213" t="s">
        <v>35</v>
      </c>
      <c r="N26" s="218" t="s">
        <v>80</v>
      </c>
      <c r="O26" s="199">
        <v>699653.0</v>
      </c>
      <c r="P26" s="213">
        <f t="shared" si="3"/>
        <v>23</v>
      </c>
      <c r="Q26" s="207"/>
      <c r="R26" s="201">
        <v>45314.0</v>
      </c>
      <c r="T26" s="202">
        <f t="shared" si="1"/>
        <v>41.43835616</v>
      </c>
      <c r="U26" s="203">
        <f t="shared" si="2"/>
        <v>43.91506849</v>
      </c>
      <c r="V26" s="189"/>
      <c r="W26" s="104"/>
    </row>
    <row r="27">
      <c r="A27" s="213" t="s">
        <v>25</v>
      </c>
      <c r="B27" s="194" t="s">
        <v>27</v>
      </c>
      <c r="C27" s="194" t="s">
        <v>220</v>
      </c>
      <c r="D27" s="213" t="s">
        <v>40</v>
      </c>
      <c r="E27" s="213" t="s">
        <v>219</v>
      </c>
      <c r="F27" s="213" t="s">
        <v>218</v>
      </c>
      <c r="G27" s="213" t="s">
        <v>219</v>
      </c>
      <c r="H27" s="213" t="s">
        <v>41</v>
      </c>
      <c r="I27" s="215"/>
      <c r="J27" s="213" t="s">
        <v>42</v>
      </c>
      <c r="K27" s="240">
        <v>26665.0</v>
      </c>
      <c r="L27" s="242" t="s">
        <v>83</v>
      </c>
      <c r="M27" s="213" t="s">
        <v>35</v>
      </c>
      <c r="N27" s="218" t="s">
        <v>84</v>
      </c>
      <c r="O27" s="219">
        <v>632609.0</v>
      </c>
      <c r="P27" s="213">
        <f t="shared" si="3"/>
        <v>24</v>
      </c>
      <c r="Q27" s="207"/>
      <c r="R27" s="201">
        <v>45314.0</v>
      </c>
      <c r="T27" s="202">
        <f t="shared" si="1"/>
        <v>51.09315068</v>
      </c>
      <c r="U27" s="203">
        <f t="shared" si="2"/>
        <v>53.56986301</v>
      </c>
      <c r="V27" s="189"/>
      <c r="W27" s="104"/>
    </row>
    <row r="28">
      <c r="A28" s="213" t="s">
        <v>25</v>
      </c>
      <c r="B28" s="194" t="s">
        <v>27</v>
      </c>
      <c r="C28" s="194" t="s">
        <v>220</v>
      </c>
      <c r="D28" s="213" t="s">
        <v>40</v>
      </c>
      <c r="E28" s="213" t="s">
        <v>219</v>
      </c>
      <c r="F28" s="213" t="s">
        <v>218</v>
      </c>
      <c r="G28" s="213" t="s">
        <v>219</v>
      </c>
      <c r="H28" s="213" t="s">
        <v>41</v>
      </c>
      <c r="I28" s="211" t="s">
        <v>185</v>
      </c>
      <c r="J28" s="213" t="s">
        <v>42</v>
      </c>
      <c r="K28" s="240">
        <v>26511.0</v>
      </c>
      <c r="L28" s="224" t="s">
        <v>187</v>
      </c>
      <c r="M28" s="213" t="s">
        <v>35</v>
      </c>
      <c r="N28" s="223" t="s">
        <v>203</v>
      </c>
      <c r="O28" s="199">
        <v>626847.0</v>
      </c>
      <c r="P28" s="213">
        <f t="shared" si="3"/>
        <v>25</v>
      </c>
      <c r="Q28" s="207"/>
      <c r="R28" s="201">
        <v>45314.0</v>
      </c>
      <c r="T28" s="202">
        <f t="shared" si="1"/>
        <v>51.51506849</v>
      </c>
      <c r="U28" s="203">
        <f t="shared" si="2"/>
        <v>53.99178082</v>
      </c>
      <c r="V28" s="189"/>
      <c r="W28" s="104"/>
    </row>
    <row r="29">
      <c r="A29" s="213" t="s">
        <v>25</v>
      </c>
      <c r="B29" s="199" t="s">
        <v>53</v>
      </c>
      <c r="C29" s="213" t="s">
        <v>140</v>
      </c>
      <c r="D29" s="213" t="s">
        <v>40</v>
      </c>
      <c r="E29" s="213" t="s">
        <v>219</v>
      </c>
      <c r="F29" s="213" t="s">
        <v>218</v>
      </c>
      <c r="G29" s="213" t="s">
        <v>219</v>
      </c>
      <c r="H29" s="213" t="s">
        <v>31</v>
      </c>
      <c r="I29" s="211" t="s">
        <v>86</v>
      </c>
      <c r="J29" s="213" t="s">
        <v>42</v>
      </c>
      <c r="K29" s="240">
        <v>29543.0</v>
      </c>
      <c r="L29" s="218" t="s">
        <v>88</v>
      </c>
      <c r="M29" s="213" t="s">
        <v>35</v>
      </c>
      <c r="N29" s="224" t="s">
        <v>89</v>
      </c>
      <c r="O29" s="199">
        <v>76290.0</v>
      </c>
      <c r="P29" s="213">
        <f t="shared" si="3"/>
        <v>26</v>
      </c>
      <c r="Q29" s="207"/>
      <c r="R29" s="201">
        <v>45314.0</v>
      </c>
      <c r="T29" s="202">
        <f t="shared" si="1"/>
        <v>43.20821918</v>
      </c>
      <c r="U29" s="203">
        <f t="shared" si="2"/>
        <v>45.68493151</v>
      </c>
      <c r="V29" s="104"/>
      <c r="W29" s="104"/>
    </row>
    <row r="30">
      <c r="A30" s="213" t="s">
        <v>25</v>
      </c>
      <c r="B30" s="199" t="s">
        <v>27</v>
      </c>
      <c r="C30" s="213" t="s">
        <v>140</v>
      </c>
      <c r="D30" s="213" t="s">
        <v>40</v>
      </c>
      <c r="E30" s="213" t="s">
        <v>219</v>
      </c>
      <c r="F30" s="213" t="s">
        <v>218</v>
      </c>
      <c r="G30" s="213" t="s">
        <v>219</v>
      </c>
      <c r="H30" s="194" t="s">
        <v>48</v>
      </c>
      <c r="I30" s="215"/>
      <c r="J30" s="213" t="s">
        <v>42</v>
      </c>
      <c r="K30" s="240">
        <v>25571.0</v>
      </c>
      <c r="L30" s="224" t="s">
        <v>191</v>
      </c>
      <c r="M30" s="213" t="s">
        <v>35</v>
      </c>
      <c r="N30" s="224" t="s">
        <v>192</v>
      </c>
      <c r="O30" s="199">
        <v>700623.0</v>
      </c>
      <c r="P30" s="213">
        <f t="shared" si="3"/>
        <v>27</v>
      </c>
      <c r="Q30" s="207"/>
      <c r="R30" s="201">
        <v>45314.0</v>
      </c>
      <c r="T30" s="202">
        <f t="shared" si="1"/>
        <v>54.09041096</v>
      </c>
      <c r="U30" s="203">
        <f t="shared" si="2"/>
        <v>56.56712329</v>
      </c>
      <c r="V30" s="104"/>
      <c r="W30" s="104"/>
    </row>
    <row r="31">
      <c r="A31" s="213" t="s">
        <v>25</v>
      </c>
      <c r="B31" s="213" t="s">
        <v>47</v>
      </c>
      <c r="C31" s="213" t="s">
        <v>140</v>
      </c>
      <c r="D31" s="213" t="s">
        <v>40</v>
      </c>
      <c r="E31" s="213" t="s">
        <v>219</v>
      </c>
      <c r="F31" s="213" t="s">
        <v>218</v>
      </c>
      <c r="G31" s="213" t="s">
        <v>219</v>
      </c>
      <c r="H31" s="213" t="s">
        <v>31</v>
      </c>
      <c r="I31" s="225" t="s">
        <v>91</v>
      </c>
      <c r="J31" s="213" t="s">
        <v>42</v>
      </c>
      <c r="K31" s="240">
        <v>22937.0</v>
      </c>
      <c r="L31" s="224" t="s">
        <v>93</v>
      </c>
      <c r="M31" s="213" t="s">
        <v>56</v>
      </c>
      <c r="N31" s="224" t="s">
        <v>94</v>
      </c>
      <c r="O31" s="219">
        <v>701872.0</v>
      </c>
      <c r="P31" s="213">
        <f t="shared" si="3"/>
        <v>28</v>
      </c>
      <c r="Q31" s="207"/>
      <c r="R31" s="201">
        <v>45314.0</v>
      </c>
      <c r="T31" s="202">
        <f t="shared" si="1"/>
        <v>61.30684932</v>
      </c>
      <c r="U31" s="203">
        <f t="shared" si="2"/>
        <v>63.78356164</v>
      </c>
      <c r="V31" s="104"/>
      <c r="W31" s="189">
        <v>13.0</v>
      </c>
    </row>
    <row r="32">
      <c r="A32" s="174"/>
      <c r="B32" s="174"/>
      <c r="C32" s="174"/>
      <c r="D32" s="174"/>
      <c r="E32" s="174"/>
      <c r="F32" s="174"/>
      <c r="G32" s="174"/>
      <c r="H32" s="174"/>
      <c r="I32" s="231"/>
      <c r="J32" s="174"/>
      <c r="K32" s="180"/>
      <c r="L32" s="174"/>
      <c r="M32" s="174"/>
      <c r="N32" s="174"/>
      <c r="O32" s="174"/>
      <c r="P32" s="174"/>
      <c r="Q32" s="104"/>
      <c r="R32" s="180"/>
    </row>
    <row r="33">
      <c r="A33" s="174"/>
      <c r="B33" s="174"/>
      <c r="C33" s="174"/>
      <c r="D33" s="174"/>
      <c r="E33" s="174"/>
      <c r="F33" s="174"/>
      <c r="G33" s="174"/>
      <c r="H33" s="174"/>
      <c r="I33" s="231"/>
      <c r="J33" s="174"/>
      <c r="K33" s="180"/>
      <c r="L33" s="174"/>
      <c r="M33" s="174"/>
      <c r="N33" s="174"/>
      <c r="O33" s="174"/>
      <c r="P33" s="174"/>
      <c r="Q33" s="104"/>
      <c r="R33" s="180"/>
    </row>
    <row r="34">
      <c r="A34" s="174"/>
      <c r="B34" s="174"/>
      <c r="C34" s="232"/>
      <c r="D34" s="25"/>
      <c r="E34" s="25"/>
      <c r="F34" s="25"/>
      <c r="G34" s="174"/>
      <c r="H34" s="233" t="s">
        <v>200</v>
      </c>
      <c r="K34" s="180"/>
      <c r="L34" s="232"/>
      <c r="M34" s="25"/>
      <c r="N34" s="233" t="s">
        <v>201</v>
      </c>
      <c r="Q34" s="104"/>
      <c r="R34" s="180"/>
    </row>
    <row r="35">
      <c r="A35" s="174"/>
      <c r="B35" s="174"/>
      <c r="C35" s="174"/>
      <c r="D35" s="174"/>
      <c r="E35" s="174"/>
      <c r="F35" s="174"/>
      <c r="G35" s="174"/>
      <c r="H35" s="174"/>
      <c r="I35" s="174"/>
      <c r="J35" s="174"/>
      <c r="K35" s="180"/>
      <c r="L35" s="174"/>
      <c r="M35" s="174"/>
      <c r="N35" s="174"/>
      <c r="O35" s="174"/>
      <c r="P35" s="174"/>
      <c r="Q35" s="104"/>
      <c r="R35" s="180"/>
    </row>
    <row r="36">
      <c r="A36" s="174"/>
      <c r="B36" s="174"/>
      <c r="C36" s="174"/>
      <c r="D36" s="174"/>
      <c r="E36" s="174"/>
      <c r="F36" s="174"/>
      <c r="G36" s="174"/>
      <c r="H36" s="174"/>
      <c r="I36" s="231"/>
      <c r="J36" s="174"/>
      <c r="K36" s="180"/>
      <c r="L36" s="235">
        <v>44865.0</v>
      </c>
      <c r="M36" s="25"/>
      <c r="N36" s="236" t="s">
        <v>202</v>
      </c>
      <c r="Q36" s="104"/>
      <c r="R36" s="180"/>
    </row>
  </sheetData>
  <mergeCells count="14">
    <mergeCell ref="D3:E3"/>
    <mergeCell ref="C34:F34"/>
    <mergeCell ref="H34:J34"/>
    <mergeCell ref="L34:M34"/>
    <mergeCell ref="N34:P34"/>
    <mergeCell ref="L36:M36"/>
    <mergeCell ref="N36:P36"/>
    <mergeCell ref="B1:D1"/>
    <mergeCell ref="E1:G1"/>
    <mergeCell ref="H1:I1"/>
    <mergeCell ref="J1:K1"/>
    <mergeCell ref="L1:M1"/>
    <mergeCell ref="N1:P1"/>
    <mergeCell ref="F3:G3"/>
  </mergeCell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1" max="11" width="13.75"/>
    <col customWidth="1" min="12" max="12" width="21.63"/>
    <col customWidth="1" min="14" max="14" width="20.75"/>
    <col customWidth="1" min="15" max="15" width="10.38"/>
  </cols>
  <sheetData>
    <row r="1">
      <c r="A1" s="174"/>
      <c r="B1" s="175">
        <v>44865.0</v>
      </c>
      <c r="C1" s="4"/>
      <c r="D1" s="4"/>
      <c r="E1" s="176" t="s">
        <v>0</v>
      </c>
      <c r="H1" s="177" t="s">
        <v>1</v>
      </c>
      <c r="I1" s="4"/>
      <c r="J1" s="176" t="s">
        <v>2</v>
      </c>
      <c r="L1" s="179" t="s">
        <v>3</v>
      </c>
      <c r="M1" s="4"/>
      <c r="N1" s="176" t="s">
        <v>4</v>
      </c>
      <c r="Q1" s="104"/>
      <c r="R1" s="180"/>
      <c r="S1" s="104"/>
      <c r="T1" s="243"/>
      <c r="U1" s="244"/>
      <c r="V1" s="104"/>
      <c r="W1" s="104"/>
      <c r="X1" s="104"/>
      <c r="Y1" s="104"/>
      <c r="Z1" s="104"/>
    </row>
    <row r="2">
      <c r="A2" s="100"/>
      <c r="B2" s="100"/>
      <c r="C2" s="100"/>
      <c r="D2" s="100"/>
      <c r="E2" s="100"/>
      <c r="F2" s="100"/>
      <c r="G2" s="100"/>
      <c r="H2" s="100"/>
      <c r="I2" s="101"/>
      <c r="J2" s="100"/>
      <c r="K2" s="102"/>
      <c r="L2" s="100"/>
      <c r="M2" s="100"/>
      <c r="N2" s="100"/>
      <c r="O2" s="100"/>
      <c r="P2" s="100"/>
      <c r="Q2" s="104"/>
      <c r="R2" s="102"/>
      <c r="S2" s="104"/>
      <c r="T2" s="245"/>
      <c r="U2" s="244"/>
      <c r="V2" s="104"/>
      <c r="W2" s="104"/>
      <c r="X2" s="104"/>
      <c r="Y2" s="104"/>
      <c r="Z2" s="104"/>
    </row>
    <row r="3">
      <c r="A3" s="181" t="s">
        <v>5</v>
      </c>
      <c r="B3" s="182" t="s">
        <v>7</v>
      </c>
      <c r="C3" s="182" t="s">
        <v>8</v>
      </c>
      <c r="D3" s="183" t="s">
        <v>212</v>
      </c>
      <c r="E3" s="26"/>
      <c r="F3" s="184" t="s">
        <v>213</v>
      </c>
      <c r="G3" s="26"/>
      <c r="H3" s="182" t="s">
        <v>11</v>
      </c>
      <c r="I3" s="185" t="s">
        <v>12</v>
      </c>
      <c r="J3" s="182" t="s">
        <v>13</v>
      </c>
      <c r="K3" s="237" t="s">
        <v>214</v>
      </c>
      <c r="L3" s="188" t="s">
        <v>215</v>
      </c>
      <c r="M3" s="182" t="s">
        <v>216</v>
      </c>
      <c r="N3" s="188" t="s">
        <v>18</v>
      </c>
      <c r="O3" s="182" t="s">
        <v>217</v>
      </c>
      <c r="P3" s="182" t="s">
        <v>20</v>
      </c>
      <c r="Q3" s="189" t="s">
        <v>222</v>
      </c>
      <c r="R3" s="190" t="s">
        <v>21</v>
      </c>
      <c r="S3" s="246"/>
      <c r="T3" s="191" t="s">
        <v>22</v>
      </c>
      <c r="U3" s="192" t="s">
        <v>23</v>
      </c>
      <c r="V3" s="104"/>
      <c r="W3" s="104"/>
      <c r="X3" s="104"/>
      <c r="Y3" s="104"/>
      <c r="Z3" s="104"/>
    </row>
    <row r="4">
      <c r="A4" s="247" t="s">
        <v>25</v>
      </c>
      <c r="B4" s="227" t="s">
        <v>27</v>
      </c>
      <c r="C4" s="227" t="s">
        <v>28</v>
      </c>
      <c r="D4" s="227" t="s">
        <v>218</v>
      </c>
      <c r="E4" s="227" t="s">
        <v>219</v>
      </c>
      <c r="F4" s="227" t="s">
        <v>218</v>
      </c>
      <c r="G4" s="227" t="s">
        <v>219</v>
      </c>
      <c r="H4" s="227" t="s">
        <v>31</v>
      </c>
      <c r="I4" s="248" t="s">
        <v>32</v>
      </c>
      <c r="J4" s="227">
        <v>1894.0</v>
      </c>
      <c r="K4" s="249">
        <v>29758.0</v>
      </c>
      <c r="L4" s="250" t="s">
        <v>34</v>
      </c>
      <c r="M4" s="227" t="s">
        <v>35</v>
      </c>
      <c r="N4" s="250" t="s">
        <v>36</v>
      </c>
      <c r="O4" s="251">
        <v>85855.0</v>
      </c>
      <c r="P4" s="227">
        <v>1.0</v>
      </c>
      <c r="Q4" s="207" t="s">
        <v>223</v>
      </c>
      <c r="R4" s="201">
        <v>45314.0</v>
      </c>
      <c r="S4" s="246"/>
      <c r="T4" s="202">
        <f t="shared" ref="T4:T31" si="1">(R4-K4)/365</f>
        <v>42.61917808</v>
      </c>
      <c r="U4" s="203">
        <f t="shared" ref="U4:U31" si="2">(TODAY()-K4)/365</f>
        <v>45.09589041</v>
      </c>
      <c r="V4" s="189">
        <v>1.0</v>
      </c>
      <c r="W4" s="104"/>
      <c r="X4" s="104"/>
      <c r="Y4" s="104"/>
      <c r="Z4" s="104"/>
    </row>
    <row r="5">
      <c r="A5" s="247" t="s">
        <v>25</v>
      </c>
      <c r="B5" s="227" t="s">
        <v>27</v>
      </c>
      <c r="C5" s="227" t="s">
        <v>28</v>
      </c>
      <c r="D5" s="227" t="s">
        <v>218</v>
      </c>
      <c r="E5" s="227" t="s">
        <v>219</v>
      </c>
      <c r="F5" s="227" t="s">
        <v>218</v>
      </c>
      <c r="G5" s="227" t="s">
        <v>219</v>
      </c>
      <c r="H5" s="227" t="s">
        <v>31</v>
      </c>
      <c r="I5" s="248" t="s">
        <v>208</v>
      </c>
      <c r="J5" s="227" t="s">
        <v>42</v>
      </c>
      <c r="K5" s="249">
        <v>22557.0</v>
      </c>
      <c r="L5" s="250" t="s">
        <v>157</v>
      </c>
      <c r="M5" s="227" t="s">
        <v>56</v>
      </c>
      <c r="N5" s="250" t="s">
        <v>211</v>
      </c>
      <c r="O5" s="251">
        <v>699652.0</v>
      </c>
      <c r="P5" s="227">
        <f t="shared" ref="P5:P31" si="3">P4+1</f>
        <v>2</v>
      </c>
      <c r="Q5" s="207"/>
      <c r="R5" s="201">
        <v>45314.0</v>
      </c>
      <c r="S5" s="246"/>
      <c r="T5" s="202">
        <f t="shared" si="1"/>
        <v>62.34794521</v>
      </c>
      <c r="U5" s="203">
        <f t="shared" si="2"/>
        <v>64.82465753</v>
      </c>
      <c r="V5" s="104"/>
      <c r="W5" s="104"/>
      <c r="X5" s="104"/>
      <c r="Y5" s="104"/>
      <c r="Z5" s="104"/>
    </row>
    <row r="6">
      <c r="A6" s="247" t="s">
        <v>25</v>
      </c>
      <c r="B6" s="227" t="s">
        <v>47</v>
      </c>
      <c r="C6" s="227" t="s">
        <v>220</v>
      </c>
      <c r="D6" s="227" t="s">
        <v>40</v>
      </c>
      <c r="E6" s="227" t="s">
        <v>219</v>
      </c>
      <c r="F6" s="227" t="s">
        <v>218</v>
      </c>
      <c r="G6" s="227" t="s">
        <v>219</v>
      </c>
      <c r="H6" s="227" t="s">
        <v>41</v>
      </c>
      <c r="I6" s="252">
        <v>0.0</v>
      </c>
      <c r="J6" s="227" t="s">
        <v>42</v>
      </c>
      <c r="K6" s="249">
        <v>29102.0</v>
      </c>
      <c r="L6" s="250" t="s">
        <v>128</v>
      </c>
      <c r="M6" s="227" t="s">
        <v>35</v>
      </c>
      <c r="N6" s="250" t="s">
        <v>129</v>
      </c>
      <c r="O6" s="227">
        <v>697263.0</v>
      </c>
      <c r="P6" s="227">
        <f t="shared" si="3"/>
        <v>3</v>
      </c>
      <c r="Q6" s="207" t="s">
        <v>223</v>
      </c>
      <c r="R6" s="201">
        <v>45314.0</v>
      </c>
      <c r="S6" s="246"/>
      <c r="T6" s="202">
        <f t="shared" si="1"/>
        <v>44.41643836</v>
      </c>
      <c r="U6" s="203">
        <f t="shared" si="2"/>
        <v>46.89315068</v>
      </c>
      <c r="V6" s="189">
        <v>2.0</v>
      </c>
      <c r="W6" s="104"/>
      <c r="X6" s="104"/>
      <c r="Y6" s="104"/>
      <c r="Z6" s="104"/>
    </row>
    <row r="7">
      <c r="A7" s="247" t="s">
        <v>25</v>
      </c>
      <c r="B7" s="253"/>
      <c r="C7" s="254" t="s">
        <v>221</v>
      </c>
      <c r="D7" s="227" t="s">
        <v>40</v>
      </c>
      <c r="E7" s="227" t="s">
        <v>219</v>
      </c>
      <c r="F7" s="227" t="s">
        <v>218</v>
      </c>
      <c r="G7" s="227" t="s">
        <v>219</v>
      </c>
      <c r="H7" s="227" t="s">
        <v>131</v>
      </c>
      <c r="I7" s="248" t="s">
        <v>132</v>
      </c>
      <c r="J7" s="227" t="s">
        <v>42</v>
      </c>
      <c r="K7" s="249">
        <v>17137.0</v>
      </c>
      <c r="L7" s="250" t="s">
        <v>134</v>
      </c>
      <c r="M7" s="227" t="s">
        <v>56</v>
      </c>
      <c r="N7" s="250" t="s">
        <v>128</v>
      </c>
      <c r="O7" s="227">
        <v>633202.0</v>
      </c>
      <c r="P7" s="227">
        <f t="shared" si="3"/>
        <v>4</v>
      </c>
      <c r="Q7" s="207"/>
      <c r="R7" s="201">
        <v>45314.0</v>
      </c>
      <c r="S7" s="246"/>
      <c r="T7" s="202">
        <f t="shared" si="1"/>
        <v>77.19726027</v>
      </c>
      <c r="U7" s="203">
        <f t="shared" si="2"/>
        <v>79.6739726</v>
      </c>
      <c r="V7" s="104"/>
      <c r="W7" s="104"/>
      <c r="X7" s="104"/>
      <c r="Y7" s="104"/>
      <c r="Z7" s="104"/>
    </row>
    <row r="8">
      <c r="A8" s="247" t="s">
        <v>37</v>
      </c>
      <c r="B8" s="227" t="s">
        <v>75</v>
      </c>
      <c r="C8" s="227" t="s">
        <v>221</v>
      </c>
      <c r="D8" s="227" t="s">
        <v>40</v>
      </c>
      <c r="E8" s="227" t="s">
        <v>219</v>
      </c>
      <c r="F8" s="227" t="s">
        <v>218</v>
      </c>
      <c r="G8" s="227" t="s">
        <v>219</v>
      </c>
      <c r="H8" s="227" t="s">
        <v>48</v>
      </c>
      <c r="I8" s="252">
        <v>0.0</v>
      </c>
      <c r="J8" s="227" t="s">
        <v>42</v>
      </c>
      <c r="K8" s="255">
        <v>19391.0</v>
      </c>
      <c r="L8" s="250" t="s">
        <v>137</v>
      </c>
      <c r="M8" s="227" t="s">
        <v>56</v>
      </c>
      <c r="N8" s="250" t="s">
        <v>138</v>
      </c>
      <c r="O8" s="227">
        <v>690594.0</v>
      </c>
      <c r="P8" s="227">
        <f t="shared" si="3"/>
        <v>5</v>
      </c>
      <c r="Q8" s="207" t="s">
        <v>223</v>
      </c>
      <c r="R8" s="201">
        <v>45314.0</v>
      </c>
      <c r="S8" s="246"/>
      <c r="T8" s="202">
        <f t="shared" si="1"/>
        <v>71.02191781</v>
      </c>
      <c r="U8" s="203">
        <f t="shared" si="2"/>
        <v>73.49863014</v>
      </c>
      <c r="V8" s="104"/>
      <c r="W8" s="104"/>
      <c r="X8" s="104"/>
      <c r="Y8" s="104"/>
      <c r="Z8" s="104"/>
    </row>
    <row r="9">
      <c r="A9" s="247" t="s">
        <v>37</v>
      </c>
      <c r="B9" s="256" t="s">
        <v>27</v>
      </c>
      <c r="C9" s="227" t="s">
        <v>220</v>
      </c>
      <c r="D9" s="227" t="s">
        <v>40</v>
      </c>
      <c r="E9" s="227" t="s">
        <v>219</v>
      </c>
      <c r="F9" s="227" t="s">
        <v>218</v>
      </c>
      <c r="G9" s="227" t="s">
        <v>219</v>
      </c>
      <c r="H9" s="256" t="s">
        <v>41</v>
      </c>
      <c r="I9" s="252">
        <v>0.0</v>
      </c>
      <c r="J9" s="227" t="s">
        <v>42</v>
      </c>
      <c r="K9" s="249">
        <v>26511.0</v>
      </c>
      <c r="L9" s="250" t="s">
        <v>44</v>
      </c>
      <c r="M9" s="227" t="s">
        <v>35</v>
      </c>
      <c r="N9" s="250" t="s">
        <v>45</v>
      </c>
      <c r="O9" s="227">
        <v>629409.0</v>
      </c>
      <c r="P9" s="227">
        <f t="shared" si="3"/>
        <v>6</v>
      </c>
      <c r="Q9" s="207" t="s">
        <v>223</v>
      </c>
      <c r="R9" s="201">
        <v>45314.0</v>
      </c>
      <c r="S9" s="246"/>
      <c r="T9" s="202">
        <f t="shared" si="1"/>
        <v>51.51506849</v>
      </c>
      <c r="U9" s="203">
        <f t="shared" si="2"/>
        <v>53.99178082</v>
      </c>
      <c r="V9" s="189">
        <v>3.0</v>
      </c>
      <c r="W9" s="104"/>
      <c r="X9" s="104"/>
      <c r="Y9" s="104"/>
      <c r="Z9" s="104"/>
    </row>
    <row r="10">
      <c r="A10" s="247" t="s">
        <v>37</v>
      </c>
      <c r="B10" s="256" t="s">
        <v>47</v>
      </c>
      <c r="C10" s="227" t="s">
        <v>220</v>
      </c>
      <c r="D10" s="227" t="s">
        <v>40</v>
      </c>
      <c r="E10" s="227" t="s">
        <v>219</v>
      </c>
      <c r="F10" s="227" t="s">
        <v>218</v>
      </c>
      <c r="G10" s="227" t="s">
        <v>219</v>
      </c>
      <c r="H10" s="227" t="s">
        <v>48</v>
      </c>
      <c r="I10" s="252">
        <v>0.0</v>
      </c>
      <c r="J10" s="227" t="s">
        <v>42</v>
      </c>
      <c r="K10" s="239">
        <v>27595.0</v>
      </c>
      <c r="L10" s="250" t="s">
        <v>50</v>
      </c>
      <c r="M10" s="227" t="s">
        <v>35</v>
      </c>
      <c r="N10" s="250" t="s">
        <v>51</v>
      </c>
      <c r="O10" s="227">
        <v>691771.0</v>
      </c>
      <c r="P10" s="227">
        <f t="shared" si="3"/>
        <v>7</v>
      </c>
      <c r="Q10" s="207" t="s">
        <v>223</v>
      </c>
      <c r="R10" s="201">
        <v>45314.0</v>
      </c>
      <c r="S10" s="246"/>
      <c r="T10" s="202">
        <f t="shared" si="1"/>
        <v>48.54520548</v>
      </c>
      <c r="U10" s="203">
        <f t="shared" si="2"/>
        <v>51.02191781</v>
      </c>
      <c r="V10" s="189">
        <v>4.0</v>
      </c>
      <c r="W10" s="104"/>
      <c r="X10" s="104"/>
      <c r="Y10" s="104"/>
      <c r="Z10" s="104"/>
    </row>
    <row r="11">
      <c r="A11" s="247" t="s">
        <v>25</v>
      </c>
      <c r="B11" s="227" t="s">
        <v>53</v>
      </c>
      <c r="C11" s="256" t="s">
        <v>220</v>
      </c>
      <c r="D11" s="227" t="s">
        <v>40</v>
      </c>
      <c r="E11" s="227" t="s">
        <v>219</v>
      </c>
      <c r="F11" s="227" t="s">
        <v>218</v>
      </c>
      <c r="G11" s="227" t="s">
        <v>219</v>
      </c>
      <c r="H11" s="227" t="s">
        <v>48</v>
      </c>
      <c r="I11" s="248" t="s">
        <v>141</v>
      </c>
      <c r="J11" s="227" t="s">
        <v>42</v>
      </c>
      <c r="K11" s="255">
        <v>21610.0</v>
      </c>
      <c r="L11" s="250" t="s">
        <v>143</v>
      </c>
      <c r="M11" s="227" t="s">
        <v>56</v>
      </c>
      <c r="N11" s="250" t="s">
        <v>204</v>
      </c>
      <c r="O11" s="227">
        <v>600898.0</v>
      </c>
      <c r="P11" s="227">
        <f t="shared" si="3"/>
        <v>8</v>
      </c>
      <c r="Q11" s="207"/>
      <c r="R11" s="201">
        <v>45314.0</v>
      </c>
      <c r="S11" s="246"/>
      <c r="T11" s="202">
        <f t="shared" si="1"/>
        <v>64.94246575</v>
      </c>
      <c r="U11" s="203">
        <f t="shared" si="2"/>
        <v>67.41917808</v>
      </c>
      <c r="V11" s="104"/>
      <c r="W11" s="104"/>
      <c r="X11" s="104"/>
      <c r="Y11" s="104"/>
      <c r="Z11" s="104"/>
    </row>
    <row r="12">
      <c r="A12" s="247" t="s">
        <v>25</v>
      </c>
      <c r="B12" s="227" t="s">
        <v>53</v>
      </c>
      <c r="C12" s="227" t="s">
        <v>221</v>
      </c>
      <c r="D12" s="227" t="s">
        <v>218</v>
      </c>
      <c r="E12" s="227" t="s">
        <v>219</v>
      </c>
      <c r="F12" s="227" t="s">
        <v>218</v>
      </c>
      <c r="G12" s="227" t="s">
        <v>219</v>
      </c>
      <c r="H12" s="227" t="s">
        <v>31</v>
      </c>
      <c r="I12" s="257"/>
      <c r="J12" s="227" t="s">
        <v>42</v>
      </c>
      <c r="K12" s="249">
        <v>12785.0</v>
      </c>
      <c r="L12" s="250" t="s">
        <v>147</v>
      </c>
      <c r="M12" s="227" t="s">
        <v>56</v>
      </c>
      <c r="N12" s="250" t="s">
        <v>148</v>
      </c>
      <c r="O12" s="227">
        <v>626871.0</v>
      </c>
      <c r="P12" s="227">
        <f t="shared" si="3"/>
        <v>9</v>
      </c>
      <c r="Q12" s="207"/>
      <c r="R12" s="201">
        <v>45314.0</v>
      </c>
      <c r="S12" s="246"/>
      <c r="T12" s="202">
        <f t="shared" si="1"/>
        <v>89.12054795</v>
      </c>
      <c r="U12" s="203">
        <f t="shared" si="2"/>
        <v>91.59726027</v>
      </c>
      <c r="V12" s="104"/>
      <c r="W12" s="104"/>
      <c r="X12" s="104"/>
      <c r="Y12" s="104"/>
      <c r="Z12" s="104"/>
    </row>
    <row r="13">
      <c r="A13" s="247" t="s">
        <v>25</v>
      </c>
      <c r="B13" s="253"/>
      <c r="C13" s="254" t="s">
        <v>221</v>
      </c>
      <c r="D13" s="227" t="s">
        <v>40</v>
      </c>
      <c r="E13" s="227" t="s">
        <v>219</v>
      </c>
      <c r="F13" s="227" t="s">
        <v>218</v>
      </c>
      <c r="G13" s="227" t="s">
        <v>219</v>
      </c>
      <c r="H13" s="227" t="s">
        <v>41</v>
      </c>
      <c r="I13" s="257"/>
      <c r="J13" s="227" t="s">
        <v>42</v>
      </c>
      <c r="K13" s="249">
        <v>17168.0</v>
      </c>
      <c r="L13" s="250" t="s">
        <v>55</v>
      </c>
      <c r="M13" s="227" t="s">
        <v>56</v>
      </c>
      <c r="N13" s="250" t="s">
        <v>50</v>
      </c>
      <c r="O13" s="227">
        <v>629430.0</v>
      </c>
      <c r="P13" s="227">
        <f t="shared" si="3"/>
        <v>10</v>
      </c>
      <c r="Q13" s="207"/>
      <c r="R13" s="201">
        <v>45314.0</v>
      </c>
      <c r="S13" s="246"/>
      <c r="T13" s="202">
        <f t="shared" si="1"/>
        <v>77.11232877</v>
      </c>
      <c r="U13" s="203">
        <f t="shared" si="2"/>
        <v>79.5890411</v>
      </c>
      <c r="V13" s="104"/>
      <c r="W13" s="104"/>
      <c r="X13" s="104"/>
      <c r="Y13" s="104"/>
      <c r="Z13" s="104"/>
    </row>
    <row r="14">
      <c r="A14" s="247" t="s">
        <v>25</v>
      </c>
      <c r="B14" s="227" t="s">
        <v>53</v>
      </c>
      <c r="C14" s="227" t="s">
        <v>220</v>
      </c>
      <c r="D14" s="227" t="s">
        <v>40</v>
      </c>
      <c r="E14" s="227" t="s">
        <v>219</v>
      </c>
      <c r="F14" s="227" t="s">
        <v>218</v>
      </c>
      <c r="G14" s="227" t="s">
        <v>219</v>
      </c>
      <c r="H14" s="227" t="s">
        <v>41</v>
      </c>
      <c r="I14" s="209" t="s">
        <v>150</v>
      </c>
      <c r="J14" s="227" t="s">
        <v>42</v>
      </c>
      <c r="K14" s="249">
        <v>26988.0</v>
      </c>
      <c r="L14" s="250" t="s">
        <v>148</v>
      </c>
      <c r="M14" s="227" t="s">
        <v>35</v>
      </c>
      <c r="N14" s="250" t="s">
        <v>152</v>
      </c>
      <c r="O14" s="227">
        <v>629430.0</v>
      </c>
      <c r="P14" s="227">
        <f t="shared" si="3"/>
        <v>11</v>
      </c>
      <c r="Q14" s="207"/>
      <c r="R14" s="201">
        <v>45314.0</v>
      </c>
      <c r="S14" s="246"/>
      <c r="T14" s="202">
        <f t="shared" si="1"/>
        <v>50.20821918</v>
      </c>
      <c r="U14" s="203">
        <f t="shared" si="2"/>
        <v>52.68493151</v>
      </c>
      <c r="V14" s="189">
        <v>5.0</v>
      </c>
      <c r="W14" s="104"/>
      <c r="X14" s="104"/>
      <c r="Y14" s="104"/>
      <c r="Z14" s="104"/>
    </row>
    <row r="15">
      <c r="A15" s="247" t="s">
        <v>25</v>
      </c>
      <c r="B15" s="258"/>
      <c r="C15" s="227" t="s">
        <v>140</v>
      </c>
      <c r="D15" s="227" t="s">
        <v>40</v>
      </c>
      <c r="E15" s="227" t="s">
        <v>219</v>
      </c>
      <c r="F15" s="227" t="s">
        <v>218</v>
      </c>
      <c r="G15" s="227" t="s">
        <v>219</v>
      </c>
      <c r="H15" s="227" t="s">
        <v>154</v>
      </c>
      <c r="I15" s="259" t="s">
        <v>155</v>
      </c>
      <c r="J15" s="227" t="s">
        <v>42</v>
      </c>
      <c r="K15" s="249">
        <v>29319.0</v>
      </c>
      <c r="L15" s="250" t="s">
        <v>157</v>
      </c>
      <c r="M15" s="227" t="s">
        <v>35</v>
      </c>
      <c r="N15" s="250" t="s">
        <v>158</v>
      </c>
      <c r="O15" s="227">
        <v>73236.0</v>
      </c>
      <c r="P15" s="227">
        <f t="shared" si="3"/>
        <v>12</v>
      </c>
      <c r="Q15" s="207"/>
      <c r="R15" s="201">
        <v>45314.0</v>
      </c>
      <c r="S15" s="246"/>
      <c r="T15" s="202">
        <f t="shared" si="1"/>
        <v>43.82191781</v>
      </c>
      <c r="U15" s="203">
        <f t="shared" si="2"/>
        <v>46.29863014</v>
      </c>
      <c r="V15" s="189">
        <v>6.0</v>
      </c>
      <c r="W15" s="104"/>
      <c r="X15" s="104"/>
      <c r="Y15" s="104"/>
      <c r="Z15" s="104"/>
    </row>
    <row r="16">
      <c r="A16" s="247" t="s">
        <v>25</v>
      </c>
      <c r="B16" s="258"/>
      <c r="C16" s="227" t="s">
        <v>220</v>
      </c>
      <c r="D16" s="227" t="s">
        <v>40</v>
      </c>
      <c r="E16" s="227" t="s">
        <v>219</v>
      </c>
      <c r="F16" s="227" t="s">
        <v>218</v>
      </c>
      <c r="G16" s="227" t="s">
        <v>219</v>
      </c>
      <c r="H16" s="227" t="s">
        <v>41</v>
      </c>
      <c r="I16" s="257"/>
      <c r="J16" s="227" t="s">
        <v>42</v>
      </c>
      <c r="K16" s="249">
        <v>23377.0</v>
      </c>
      <c r="L16" s="250" t="s">
        <v>206</v>
      </c>
      <c r="M16" s="227" t="s">
        <v>56</v>
      </c>
      <c r="N16" s="250" t="s">
        <v>207</v>
      </c>
      <c r="O16" s="227">
        <v>629439.0</v>
      </c>
      <c r="P16" s="227">
        <f t="shared" si="3"/>
        <v>13</v>
      </c>
      <c r="Q16" s="207"/>
      <c r="R16" s="201">
        <v>45314.0</v>
      </c>
      <c r="S16" s="246"/>
      <c r="T16" s="202">
        <f t="shared" si="1"/>
        <v>60.10136986</v>
      </c>
      <c r="U16" s="203">
        <f t="shared" si="2"/>
        <v>62.57808219</v>
      </c>
      <c r="V16" s="104"/>
      <c r="W16" s="104"/>
      <c r="X16" s="104"/>
      <c r="Y16" s="104"/>
      <c r="Z16" s="104"/>
    </row>
    <row r="17">
      <c r="A17" s="247" t="s">
        <v>37</v>
      </c>
      <c r="B17" s="227" t="s">
        <v>75</v>
      </c>
      <c r="C17" s="227" t="s">
        <v>220</v>
      </c>
      <c r="D17" s="227" t="s">
        <v>40</v>
      </c>
      <c r="E17" s="227" t="s">
        <v>219</v>
      </c>
      <c r="F17" s="227" t="s">
        <v>218</v>
      </c>
      <c r="G17" s="227" t="s">
        <v>219</v>
      </c>
      <c r="H17" s="227" t="s">
        <v>41</v>
      </c>
      <c r="I17" s="257"/>
      <c r="J17" s="227" t="s">
        <v>42</v>
      </c>
      <c r="K17" s="249">
        <v>29895.0</v>
      </c>
      <c r="L17" s="250" t="s">
        <v>161</v>
      </c>
      <c r="M17" s="227" t="s">
        <v>35</v>
      </c>
      <c r="N17" s="250" t="s">
        <v>162</v>
      </c>
      <c r="O17" s="227">
        <v>698781.0</v>
      </c>
      <c r="P17" s="227">
        <f t="shared" si="3"/>
        <v>14</v>
      </c>
      <c r="Q17" s="207"/>
      <c r="R17" s="201">
        <v>45314.0</v>
      </c>
      <c r="S17" s="246"/>
      <c r="T17" s="202">
        <f t="shared" si="1"/>
        <v>42.24383562</v>
      </c>
      <c r="U17" s="203">
        <f t="shared" si="2"/>
        <v>44.72054795</v>
      </c>
      <c r="V17" s="189">
        <v>8.0</v>
      </c>
      <c r="W17" s="104"/>
      <c r="X17" s="104"/>
      <c r="Y17" s="104"/>
      <c r="Z17" s="104"/>
    </row>
    <row r="18">
      <c r="A18" s="247" t="s">
        <v>25</v>
      </c>
      <c r="B18" s="253"/>
      <c r="C18" s="254" t="s">
        <v>221</v>
      </c>
      <c r="D18" s="227" t="s">
        <v>40</v>
      </c>
      <c r="E18" s="227" t="s">
        <v>219</v>
      </c>
      <c r="F18" s="227" t="s">
        <v>218</v>
      </c>
      <c r="G18" s="227" t="s">
        <v>219</v>
      </c>
      <c r="H18" s="227" t="s">
        <v>41</v>
      </c>
      <c r="I18" s="248" t="s">
        <v>164</v>
      </c>
      <c r="J18" s="227" t="s">
        <v>42</v>
      </c>
      <c r="K18" s="249">
        <v>21551.0</v>
      </c>
      <c r="L18" s="250" t="s">
        <v>224</v>
      </c>
      <c r="M18" s="227" t="s">
        <v>56</v>
      </c>
      <c r="N18" s="250" t="s">
        <v>225</v>
      </c>
      <c r="O18" s="227">
        <v>697260.0</v>
      </c>
      <c r="P18" s="227">
        <f t="shared" si="3"/>
        <v>15</v>
      </c>
      <c r="Q18" s="207"/>
      <c r="R18" s="201">
        <v>45314.0</v>
      </c>
      <c r="S18" s="246"/>
      <c r="T18" s="202">
        <f t="shared" si="1"/>
        <v>65.10410959</v>
      </c>
      <c r="U18" s="203">
        <f t="shared" si="2"/>
        <v>67.58082192</v>
      </c>
      <c r="V18" s="104"/>
      <c r="W18" s="104"/>
      <c r="X18" s="104"/>
      <c r="Y18" s="104"/>
      <c r="Z18" s="104"/>
    </row>
    <row r="19">
      <c r="A19" s="247" t="s">
        <v>25</v>
      </c>
      <c r="B19" s="258"/>
      <c r="C19" s="227" t="s">
        <v>140</v>
      </c>
      <c r="D19" s="227" t="s">
        <v>40</v>
      </c>
      <c r="E19" s="227" t="s">
        <v>219</v>
      </c>
      <c r="F19" s="227" t="s">
        <v>218</v>
      </c>
      <c r="G19" s="227" t="s">
        <v>219</v>
      </c>
      <c r="H19" s="260" t="s">
        <v>58</v>
      </c>
      <c r="I19" s="257"/>
      <c r="J19" s="227" t="s">
        <v>42</v>
      </c>
      <c r="K19" s="249">
        <v>20090.0</v>
      </c>
      <c r="L19" s="250" t="s">
        <v>60</v>
      </c>
      <c r="M19" s="227" t="s">
        <v>56</v>
      </c>
      <c r="N19" s="250" t="s">
        <v>61</v>
      </c>
      <c r="O19" s="227">
        <v>696347.0</v>
      </c>
      <c r="P19" s="227">
        <f t="shared" si="3"/>
        <v>16</v>
      </c>
      <c r="Q19" s="207"/>
      <c r="R19" s="201">
        <v>45314.0</v>
      </c>
      <c r="S19" s="246"/>
      <c r="T19" s="202">
        <f t="shared" si="1"/>
        <v>69.10684932</v>
      </c>
      <c r="U19" s="203">
        <f t="shared" si="2"/>
        <v>71.58356164</v>
      </c>
      <c r="V19" s="104"/>
      <c r="W19" s="104"/>
      <c r="X19" s="104"/>
      <c r="Y19" s="104"/>
      <c r="Z19" s="104"/>
    </row>
    <row r="20">
      <c r="A20" s="247" t="s">
        <v>25</v>
      </c>
      <c r="B20" s="258"/>
      <c r="C20" s="227" t="s">
        <v>220</v>
      </c>
      <c r="D20" s="227" t="s">
        <v>40</v>
      </c>
      <c r="E20" s="227" t="s">
        <v>219</v>
      </c>
      <c r="F20" s="227" t="s">
        <v>218</v>
      </c>
      <c r="G20" s="227" t="s">
        <v>219</v>
      </c>
      <c r="H20" s="227" t="s">
        <v>41</v>
      </c>
      <c r="I20" s="257"/>
      <c r="J20" s="227" t="s">
        <v>42</v>
      </c>
      <c r="K20" s="249">
        <v>27760.0</v>
      </c>
      <c r="L20" s="250" t="s">
        <v>170</v>
      </c>
      <c r="M20" s="227" t="s">
        <v>35</v>
      </c>
      <c r="N20" s="250" t="s">
        <v>171</v>
      </c>
      <c r="O20" s="227">
        <v>697262.0</v>
      </c>
      <c r="P20" s="227">
        <f t="shared" si="3"/>
        <v>17</v>
      </c>
      <c r="Q20" s="207"/>
      <c r="R20" s="201">
        <v>45314.0</v>
      </c>
      <c r="S20" s="246"/>
      <c r="T20" s="202">
        <f t="shared" si="1"/>
        <v>48.09315068</v>
      </c>
      <c r="U20" s="203">
        <f t="shared" si="2"/>
        <v>50.56986301</v>
      </c>
      <c r="V20" s="189">
        <v>9.0</v>
      </c>
      <c r="W20" s="104"/>
      <c r="X20" s="104"/>
      <c r="Y20" s="104"/>
      <c r="Z20" s="104"/>
    </row>
    <row r="21">
      <c r="A21" s="247" t="s">
        <v>25</v>
      </c>
      <c r="B21" s="227" t="s">
        <v>53</v>
      </c>
      <c r="C21" s="227" t="s">
        <v>221</v>
      </c>
      <c r="D21" s="227" t="s">
        <v>40</v>
      </c>
      <c r="E21" s="227" t="s">
        <v>219</v>
      </c>
      <c r="F21" s="227" t="s">
        <v>218</v>
      </c>
      <c r="G21" s="227" t="s">
        <v>219</v>
      </c>
      <c r="H21" s="227" t="s">
        <v>63</v>
      </c>
      <c r="I21" s="248" t="s">
        <v>64</v>
      </c>
      <c r="J21" s="227" t="s">
        <v>42</v>
      </c>
      <c r="K21" s="249">
        <v>20059.0</v>
      </c>
      <c r="L21" s="250" t="s">
        <v>66</v>
      </c>
      <c r="M21" s="227" t="s">
        <v>56</v>
      </c>
      <c r="N21" s="250" t="s">
        <v>67</v>
      </c>
      <c r="O21" s="227">
        <v>633185.0</v>
      </c>
      <c r="P21" s="227">
        <f t="shared" si="3"/>
        <v>18</v>
      </c>
      <c r="Q21" s="207"/>
      <c r="R21" s="201">
        <v>45314.0</v>
      </c>
      <c r="S21" s="246"/>
      <c r="T21" s="202">
        <f t="shared" si="1"/>
        <v>69.19178082</v>
      </c>
      <c r="U21" s="203">
        <f t="shared" si="2"/>
        <v>71.66849315</v>
      </c>
      <c r="V21" s="104"/>
      <c r="W21" s="104"/>
      <c r="X21" s="104"/>
      <c r="Y21" s="104"/>
      <c r="Z21" s="104"/>
    </row>
    <row r="22">
      <c r="A22" s="247" t="s">
        <v>25</v>
      </c>
      <c r="B22" s="227" t="s">
        <v>69</v>
      </c>
      <c r="C22" s="227" t="s">
        <v>220</v>
      </c>
      <c r="D22" s="227" t="s">
        <v>40</v>
      </c>
      <c r="E22" s="227" t="s">
        <v>219</v>
      </c>
      <c r="F22" s="227" t="s">
        <v>218</v>
      </c>
      <c r="G22" s="227" t="s">
        <v>219</v>
      </c>
      <c r="H22" s="227" t="s">
        <v>48</v>
      </c>
      <c r="I22" s="257"/>
      <c r="J22" s="227" t="s">
        <v>42</v>
      </c>
      <c r="K22" s="249">
        <v>23377.0</v>
      </c>
      <c r="L22" s="250" t="s">
        <v>72</v>
      </c>
      <c r="M22" s="227" t="s">
        <v>56</v>
      </c>
      <c r="N22" s="250" t="s">
        <v>73</v>
      </c>
      <c r="O22" s="227">
        <v>626887.0</v>
      </c>
      <c r="P22" s="227">
        <f t="shared" si="3"/>
        <v>19</v>
      </c>
      <c r="Q22" s="207"/>
      <c r="R22" s="201">
        <v>45314.0</v>
      </c>
      <c r="S22" s="246"/>
      <c r="T22" s="202">
        <f t="shared" si="1"/>
        <v>60.10136986</v>
      </c>
      <c r="U22" s="203">
        <f t="shared" si="2"/>
        <v>62.57808219</v>
      </c>
      <c r="V22" s="104"/>
      <c r="W22" s="104"/>
      <c r="X22" s="104"/>
      <c r="Y22" s="104"/>
      <c r="Z22" s="104"/>
    </row>
    <row r="23">
      <c r="A23" s="247" t="s">
        <v>25</v>
      </c>
      <c r="B23" s="227" t="s">
        <v>27</v>
      </c>
      <c r="C23" s="227" t="s">
        <v>221</v>
      </c>
      <c r="D23" s="227" t="s">
        <v>40</v>
      </c>
      <c r="E23" s="227" t="s">
        <v>219</v>
      </c>
      <c r="F23" s="227" t="s">
        <v>218</v>
      </c>
      <c r="G23" s="227" t="s">
        <v>219</v>
      </c>
      <c r="H23" s="227" t="s">
        <v>48</v>
      </c>
      <c r="I23" s="257"/>
      <c r="J23" s="227" t="s">
        <v>42</v>
      </c>
      <c r="K23" s="249">
        <v>19299.0</v>
      </c>
      <c r="L23" s="250" t="s">
        <v>174</v>
      </c>
      <c r="M23" s="227" t="s">
        <v>56</v>
      </c>
      <c r="N23" s="250" t="s">
        <v>175</v>
      </c>
      <c r="O23" s="227">
        <v>629414.0</v>
      </c>
      <c r="P23" s="227">
        <f t="shared" si="3"/>
        <v>20</v>
      </c>
      <c r="Q23" s="207"/>
      <c r="R23" s="201">
        <v>45314.0</v>
      </c>
      <c r="S23" s="246"/>
      <c r="T23" s="202">
        <f t="shared" si="1"/>
        <v>71.2739726</v>
      </c>
      <c r="U23" s="203">
        <f t="shared" si="2"/>
        <v>73.75068493</v>
      </c>
      <c r="V23" s="104"/>
      <c r="W23" s="104"/>
      <c r="X23" s="104"/>
      <c r="Y23" s="104"/>
      <c r="Z23" s="104"/>
    </row>
    <row r="24">
      <c r="A24" s="247" t="s">
        <v>25</v>
      </c>
      <c r="B24" s="227" t="s">
        <v>47</v>
      </c>
      <c r="C24" s="227" t="s">
        <v>220</v>
      </c>
      <c r="D24" s="227" t="s">
        <v>40</v>
      </c>
      <c r="E24" s="227" t="s">
        <v>219</v>
      </c>
      <c r="F24" s="227" t="s">
        <v>218</v>
      </c>
      <c r="G24" s="227" t="s">
        <v>219</v>
      </c>
      <c r="H24" s="227" t="s">
        <v>131</v>
      </c>
      <c r="I24" s="259" t="s">
        <v>177</v>
      </c>
      <c r="J24" s="227" t="s">
        <v>42</v>
      </c>
      <c r="K24" s="249">
        <v>22282.0</v>
      </c>
      <c r="L24" s="250" t="s">
        <v>179</v>
      </c>
      <c r="M24" s="227" t="s">
        <v>56</v>
      </c>
      <c r="N24" s="250" t="s">
        <v>180</v>
      </c>
      <c r="O24" s="227">
        <v>626872.0</v>
      </c>
      <c r="P24" s="227">
        <f t="shared" si="3"/>
        <v>21</v>
      </c>
      <c r="Q24" s="207"/>
      <c r="R24" s="201">
        <v>45314.0</v>
      </c>
      <c r="S24" s="246"/>
      <c r="T24" s="202">
        <f t="shared" si="1"/>
        <v>63.10136986</v>
      </c>
      <c r="U24" s="203">
        <f t="shared" si="2"/>
        <v>65.57808219</v>
      </c>
      <c r="V24" s="104"/>
      <c r="W24" s="104"/>
      <c r="X24" s="104"/>
      <c r="Y24" s="104"/>
      <c r="Z24" s="104"/>
    </row>
    <row r="25">
      <c r="A25" s="261" t="s">
        <v>25</v>
      </c>
      <c r="B25" s="262"/>
      <c r="C25" s="263" t="s">
        <v>221</v>
      </c>
      <c r="D25" s="261" t="s">
        <v>40</v>
      </c>
      <c r="E25" s="261" t="s">
        <v>219</v>
      </c>
      <c r="F25" s="261" t="s">
        <v>218</v>
      </c>
      <c r="G25" s="261" t="s">
        <v>219</v>
      </c>
      <c r="H25" s="261" t="s">
        <v>48</v>
      </c>
      <c r="I25" s="264"/>
      <c r="J25" s="261" t="s">
        <v>42</v>
      </c>
      <c r="K25" s="265">
        <v>27760.0</v>
      </c>
      <c r="L25" s="266" t="s">
        <v>226</v>
      </c>
      <c r="M25" s="261" t="s">
        <v>35</v>
      </c>
      <c r="N25" s="266" t="s">
        <v>227</v>
      </c>
      <c r="O25" s="261">
        <v>696346.0</v>
      </c>
      <c r="P25" s="261">
        <f t="shared" si="3"/>
        <v>22</v>
      </c>
      <c r="Q25" s="207"/>
      <c r="R25" s="201">
        <v>45314.0</v>
      </c>
      <c r="S25" s="246"/>
      <c r="T25" s="202">
        <f t="shared" si="1"/>
        <v>48.09315068</v>
      </c>
      <c r="U25" s="203">
        <f t="shared" si="2"/>
        <v>50.56986301</v>
      </c>
      <c r="V25" s="189">
        <v>10.0</v>
      </c>
      <c r="W25" s="104"/>
      <c r="X25" s="104"/>
      <c r="Y25" s="104"/>
      <c r="Z25" s="104"/>
    </row>
    <row r="26">
      <c r="A26" s="262"/>
      <c r="B26" s="261" t="s">
        <v>53</v>
      </c>
      <c r="C26" s="261" t="s">
        <v>140</v>
      </c>
      <c r="D26" s="261" t="s">
        <v>40</v>
      </c>
      <c r="E26" s="261" t="s">
        <v>219</v>
      </c>
      <c r="F26" s="261" t="s">
        <v>218</v>
      </c>
      <c r="G26" s="261" t="s">
        <v>219</v>
      </c>
      <c r="H26" s="261" t="s">
        <v>41</v>
      </c>
      <c r="I26" s="259" t="s">
        <v>77</v>
      </c>
      <c r="J26" s="261" t="s">
        <v>42</v>
      </c>
      <c r="K26" s="265">
        <v>30189.0</v>
      </c>
      <c r="L26" s="266" t="s">
        <v>79</v>
      </c>
      <c r="M26" s="261" t="s">
        <v>35</v>
      </c>
      <c r="N26" s="266" t="s">
        <v>80</v>
      </c>
      <c r="O26" s="251">
        <v>699653.0</v>
      </c>
      <c r="P26" s="261">
        <f t="shared" si="3"/>
        <v>23</v>
      </c>
      <c r="Q26" s="267"/>
      <c r="R26" s="201">
        <v>45314.0</v>
      </c>
      <c r="S26" s="246"/>
      <c r="T26" s="202">
        <f t="shared" si="1"/>
        <v>41.43835616</v>
      </c>
      <c r="U26" s="203">
        <f t="shared" si="2"/>
        <v>43.91506849</v>
      </c>
      <c r="V26" s="189">
        <v>11.0</v>
      </c>
      <c r="W26" s="104"/>
      <c r="X26" s="104"/>
      <c r="Y26" s="104"/>
      <c r="Z26" s="104"/>
    </row>
    <row r="27">
      <c r="A27" s="261" t="s">
        <v>25</v>
      </c>
      <c r="B27" s="227" t="s">
        <v>27</v>
      </c>
      <c r="C27" s="227" t="s">
        <v>220</v>
      </c>
      <c r="D27" s="261" t="s">
        <v>40</v>
      </c>
      <c r="E27" s="261" t="s">
        <v>219</v>
      </c>
      <c r="F27" s="261" t="s">
        <v>218</v>
      </c>
      <c r="G27" s="261" t="s">
        <v>219</v>
      </c>
      <c r="H27" s="261" t="s">
        <v>41</v>
      </c>
      <c r="I27" s="264"/>
      <c r="J27" s="261" t="s">
        <v>42</v>
      </c>
      <c r="K27" s="268">
        <v>26665.0</v>
      </c>
      <c r="L27" s="269" t="s">
        <v>83</v>
      </c>
      <c r="M27" s="261" t="s">
        <v>35</v>
      </c>
      <c r="N27" s="266" t="s">
        <v>84</v>
      </c>
      <c r="O27" s="262"/>
      <c r="P27" s="261">
        <f t="shared" si="3"/>
        <v>24</v>
      </c>
      <c r="Q27" s="270"/>
      <c r="R27" s="201">
        <v>45314.0</v>
      </c>
      <c r="S27" s="104"/>
      <c r="T27" s="202">
        <f t="shared" si="1"/>
        <v>51.09315068</v>
      </c>
      <c r="U27" s="203">
        <f t="shared" si="2"/>
        <v>53.56986301</v>
      </c>
      <c r="V27" s="189">
        <v>12.0</v>
      </c>
      <c r="W27" s="104"/>
      <c r="X27" s="104"/>
      <c r="Y27" s="104"/>
      <c r="Z27" s="104"/>
    </row>
    <row r="28">
      <c r="A28" s="262"/>
      <c r="B28" s="262"/>
      <c r="C28" s="227" t="s">
        <v>220</v>
      </c>
      <c r="D28" s="261" t="s">
        <v>40</v>
      </c>
      <c r="E28" s="261" t="s">
        <v>219</v>
      </c>
      <c r="F28" s="261" t="s">
        <v>218</v>
      </c>
      <c r="G28" s="261" t="s">
        <v>219</v>
      </c>
      <c r="H28" s="261" t="s">
        <v>41</v>
      </c>
      <c r="I28" s="259" t="s">
        <v>185</v>
      </c>
      <c r="J28" s="261" t="s">
        <v>42</v>
      </c>
      <c r="K28" s="268">
        <v>26511.0</v>
      </c>
      <c r="L28" s="271" t="s">
        <v>228</v>
      </c>
      <c r="M28" s="261" t="s">
        <v>35</v>
      </c>
      <c r="N28" s="272" t="s">
        <v>203</v>
      </c>
      <c r="O28" s="251">
        <v>626847.0</v>
      </c>
      <c r="P28" s="261">
        <f t="shared" si="3"/>
        <v>25</v>
      </c>
      <c r="Q28" s="270"/>
      <c r="R28" s="201">
        <v>45314.0</v>
      </c>
      <c r="S28" s="104"/>
      <c r="T28" s="202">
        <f t="shared" si="1"/>
        <v>51.51506849</v>
      </c>
      <c r="U28" s="203">
        <f t="shared" si="2"/>
        <v>53.99178082</v>
      </c>
      <c r="V28" s="189">
        <v>13.0</v>
      </c>
      <c r="W28" s="104"/>
      <c r="X28" s="104"/>
      <c r="Y28" s="104"/>
      <c r="Z28" s="104"/>
    </row>
    <row r="29">
      <c r="A29" s="262"/>
      <c r="B29" s="251" t="s">
        <v>53</v>
      </c>
      <c r="C29" s="261" t="s">
        <v>140</v>
      </c>
      <c r="D29" s="261" t="s">
        <v>40</v>
      </c>
      <c r="E29" s="261" t="s">
        <v>219</v>
      </c>
      <c r="F29" s="261" t="s">
        <v>218</v>
      </c>
      <c r="G29" s="261" t="s">
        <v>219</v>
      </c>
      <c r="H29" s="273" t="s">
        <v>229</v>
      </c>
      <c r="I29" s="259" t="s">
        <v>230</v>
      </c>
      <c r="J29" s="261" t="s">
        <v>42</v>
      </c>
      <c r="K29" s="268">
        <v>29543.0</v>
      </c>
      <c r="L29" s="266" t="s">
        <v>88</v>
      </c>
      <c r="M29" s="261" t="s">
        <v>35</v>
      </c>
      <c r="N29" s="271" t="s">
        <v>231</v>
      </c>
      <c r="O29" s="251">
        <v>76290.0</v>
      </c>
      <c r="P29" s="261">
        <f t="shared" si="3"/>
        <v>26</v>
      </c>
      <c r="Q29" s="274"/>
      <c r="R29" s="201">
        <v>45314.0</v>
      </c>
      <c r="S29" s="104"/>
      <c r="T29" s="202">
        <f t="shared" si="1"/>
        <v>43.20821918</v>
      </c>
      <c r="U29" s="203">
        <f t="shared" si="2"/>
        <v>45.68493151</v>
      </c>
      <c r="V29" s="104"/>
      <c r="W29" s="104"/>
      <c r="X29" s="104"/>
      <c r="Y29" s="104"/>
      <c r="Z29" s="104"/>
    </row>
    <row r="30">
      <c r="A30" s="262"/>
      <c r="B30" s="251" t="s">
        <v>27</v>
      </c>
      <c r="C30" s="262"/>
      <c r="D30" s="261" t="s">
        <v>40</v>
      </c>
      <c r="E30" s="261" t="s">
        <v>219</v>
      </c>
      <c r="F30" s="261" t="s">
        <v>218</v>
      </c>
      <c r="G30" s="261" t="s">
        <v>219</v>
      </c>
      <c r="H30" s="273" t="s">
        <v>232</v>
      </c>
      <c r="I30" s="264"/>
      <c r="J30" s="261" t="s">
        <v>42</v>
      </c>
      <c r="K30" s="268">
        <v>25569.0</v>
      </c>
      <c r="L30" s="275" t="s">
        <v>191</v>
      </c>
      <c r="M30" s="261" t="s">
        <v>35</v>
      </c>
      <c r="N30" s="271" t="s">
        <v>192</v>
      </c>
      <c r="O30" s="251">
        <v>700623.0</v>
      </c>
      <c r="P30" s="261">
        <f t="shared" si="3"/>
        <v>27</v>
      </c>
      <c r="Q30" s="274"/>
      <c r="R30" s="201">
        <v>45314.0</v>
      </c>
      <c r="S30" s="104"/>
      <c r="T30" s="202">
        <f t="shared" si="1"/>
        <v>54.09589041</v>
      </c>
      <c r="U30" s="203">
        <f t="shared" si="2"/>
        <v>56.57260274</v>
      </c>
      <c r="V30" s="104"/>
      <c r="W30" s="104"/>
      <c r="X30" s="104"/>
      <c r="Y30" s="104"/>
      <c r="Z30" s="104"/>
    </row>
    <row r="31">
      <c r="A31" s="261" t="s">
        <v>25</v>
      </c>
      <c r="B31" s="261" t="s">
        <v>47</v>
      </c>
      <c r="C31" s="261" t="s">
        <v>140</v>
      </c>
      <c r="D31" s="261" t="s">
        <v>40</v>
      </c>
      <c r="E31" s="261" t="s">
        <v>219</v>
      </c>
      <c r="F31" s="261" t="s">
        <v>218</v>
      </c>
      <c r="G31" s="261" t="s">
        <v>219</v>
      </c>
      <c r="H31" s="261" t="s">
        <v>31</v>
      </c>
      <c r="I31" s="276" t="s">
        <v>91</v>
      </c>
      <c r="J31" s="261" t="s">
        <v>42</v>
      </c>
      <c r="K31" s="268">
        <v>22937.0</v>
      </c>
      <c r="L31" s="271" t="s">
        <v>93</v>
      </c>
      <c r="M31" s="261" t="s">
        <v>56</v>
      </c>
      <c r="N31" s="271" t="s">
        <v>94</v>
      </c>
      <c r="O31" s="262"/>
      <c r="P31" s="261">
        <f t="shared" si="3"/>
        <v>28</v>
      </c>
      <c r="Q31" s="274"/>
      <c r="R31" s="201">
        <v>45314.0</v>
      </c>
      <c r="S31" s="104"/>
      <c r="T31" s="202">
        <f t="shared" si="1"/>
        <v>61.30684932</v>
      </c>
      <c r="U31" s="203">
        <f t="shared" si="2"/>
        <v>63.78356164</v>
      </c>
      <c r="V31" s="104"/>
      <c r="W31" s="189">
        <v>13.0</v>
      </c>
      <c r="X31" s="104"/>
      <c r="Y31" s="104"/>
      <c r="Z31" s="104"/>
    </row>
    <row r="32">
      <c r="A32" s="174"/>
      <c r="B32" s="174"/>
      <c r="C32" s="174"/>
      <c r="D32" s="174"/>
      <c r="E32" s="174"/>
      <c r="F32" s="174"/>
      <c r="G32" s="174"/>
      <c r="H32" s="174"/>
      <c r="I32" s="231"/>
      <c r="J32" s="174"/>
      <c r="K32" s="180"/>
      <c r="L32" s="174"/>
      <c r="M32" s="174"/>
      <c r="N32" s="174"/>
      <c r="O32" s="174"/>
      <c r="P32" s="174"/>
      <c r="Q32" s="104"/>
      <c r="R32" s="180"/>
      <c r="S32" s="104"/>
      <c r="T32" s="243"/>
      <c r="U32" s="244"/>
      <c r="V32" s="104"/>
      <c r="W32" s="104"/>
      <c r="X32" s="104"/>
      <c r="Y32" s="104"/>
      <c r="Z32" s="104"/>
    </row>
    <row r="33">
      <c r="A33" s="174"/>
      <c r="B33" s="174"/>
      <c r="C33" s="174"/>
      <c r="D33" s="174"/>
      <c r="E33" s="174"/>
      <c r="F33" s="174"/>
      <c r="G33" s="174"/>
      <c r="H33" s="174"/>
      <c r="I33" s="231"/>
      <c r="J33" s="174"/>
      <c r="K33" s="180"/>
      <c r="L33" s="174"/>
      <c r="M33" s="174"/>
      <c r="N33" s="174"/>
      <c r="O33" s="174"/>
      <c r="P33" s="174"/>
      <c r="Q33" s="104"/>
      <c r="R33" s="180"/>
      <c r="S33" s="104"/>
      <c r="T33" s="243"/>
      <c r="U33" s="244"/>
      <c r="V33" s="104"/>
      <c r="W33" s="104"/>
      <c r="X33" s="104"/>
      <c r="Y33" s="104"/>
      <c r="Z33" s="104"/>
    </row>
    <row r="34">
      <c r="A34" s="174"/>
      <c r="B34" s="174"/>
      <c r="C34" s="174"/>
      <c r="D34" s="174"/>
      <c r="E34" s="174"/>
      <c r="F34" s="174"/>
      <c r="G34" s="174"/>
      <c r="H34" s="174"/>
      <c r="I34" s="231"/>
      <c r="J34" s="174"/>
      <c r="K34" s="180"/>
      <c r="L34" s="174"/>
      <c r="M34" s="174"/>
      <c r="N34" s="174"/>
      <c r="O34" s="174"/>
      <c r="P34" s="174"/>
      <c r="Q34" s="104"/>
      <c r="R34" s="180"/>
      <c r="S34" s="104"/>
      <c r="T34" s="243"/>
      <c r="U34" s="244"/>
      <c r="V34" s="104"/>
      <c r="W34" s="104"/>
      <c r="X34" s="104"/>
      <c r="Y34" s="104"/>
      <c r="Z34" s="104"/>
    </row>
    <row r="35">
      <c r="A35" s="174"/>
      <c r="B35" s="174"/>
      <c r="C35" s="232"/>
      <c r="D35" s="25"/>
      <c r="E35" s="25"/>
      <c r="F35" s="25"/>
      <c r="G35" s="174"/>
      <c r="H35" s="233" t="s">
        <v>200</v>
      </c>
      <c r="K35" s="180"/>
      <c r="L35" s="232"/>
      <c r="M35" s="25"/>
      <c r="N35" s="233" t="s">
        <v>201</v>
      </c>
      <c r="Q35" s="104"/>
      <c r="R35" s="180"/>
      <c r="S35" s="104"/>
      <c r="T35" s="243"/>
      <c r="U35" s="244"/>
      <c r="V35" s="104"/>
      <c r="W35" s="104"/>
      <c r="X35" s="104"/>
      <c r="Y35" s="104"/>
      <c r="Z35" s="104"/>
    </row>
    <row r="36">
      <c r="A36" s="174"/>
      <c r="B36" s="174"/>
      <c r="C36" s="174"/>
      <c r="D36" s="174"/>
      <c r="E36" s="174"/>
      <c r="F36" s="174"/>
      <c r="G36" s="174"/>
      <c r="H36" s="174"/>
      <c r="I36" s="174"/>
      <c r="J36" s="174"/>
      <c r="K36" s="180"/>
      <c r="L36" s="174"/>
      <c r="M36" s="174"/>
      <c r="N36" s="174"/>
      <c r="O36" s="174"/>
      <c r="P36" s="174"/>
      <c r="Q36" s="104"/>
      <c r="R36" s="180"/>
      <c r="S36" s="104"/>
      <c r="T36" s="243"/>
      <c r="U36" s="244"/>
      <c r="V36" s="104"/>
      <c r="W36" s="104"/>
      <c r="X36" s="104"/>
      <c r="Y36" s="104"/>
      <c r="Z36" s="104"/>
    </row>
    <row r="37">
      <c r="A37" s="174"/>
      <c r="B37" s="174"/>
      <c r="C37" s="174"/>
      <c r="D37" s="174"/>
      <c r="E37" s="174"/>
      <c r="F37" s="174"/>
      <c r="G37" s="174"/>
      <c r="H37" s="174"/>
      <c r="I37" s="231"/>
      <c r="J37" s="174"/>
      <c r="K37" s="180"/>
      <c r="L37" s="235">
        <v>44865.0</v>
      </c>
      <c r="M37" s="25"/>
      <c r="N37" s="236" t="s">
        <v>202</v>
      </c>
      <c r="Q37" s="104"/>
      <c r="R37" s="180"/>
      <c r="S37" s="104"/>
      <c r="T37" s="243"/>
      <c r="U37" s="244"/>
      <c r="V37" s="104"/>
      <c r="W37" s="104"/>
      <c r="X37" s="104"/>
      <c r="Y37" s="104"/>
      <c r="Z37" s="104"/>
    </row>
    <row r="38">
      <c r="A38" s="174"/>
      <c r="B38" s="174"/>
      <c r="C38" s="174"/>
      <c r="D38" s="174"/>
      <c r="E38" s="174"/>
      <c r="F38" s="174"/>
      <c r="G38" s="174"/>
      <c r="H38" s="174"/>
      <c r="I38" s="231"/>
      <c r="J38" s="174"/>
      <c r="K38" s="180"/>
      <c r="L38" s="174"/>
      <c r="M38" s="174"/>
      <c r="N38" s="174"/>
      <c r="O38" s="174"/>
      <c r="P38" s="174"/>
      <c r="Q38" s="104"/>
      <c r="R38" s="180"/>
      <c r="S38" s="104"/>
      <c r="T38" s="243"/>
      <c r="U38" s="244"/>
      <c r="V38" s="104"/>
      <c r="W38" s="104"/>
      <c r="X38" s="104"/>
      <c r="Y38" s="104"/>
      <c r="Z38" s="104"/>
    </row>
    <row r="39">
      <c r="A39" s="174"/>
      <c r="B39" s="174"/>
      <c r="C39" s="174"/>
      <c r="D39" s="174"/>
      <c r="E39" s="174"/>
      <c r="F39" s="174"/>
      <c r="G39" s="174"/>
      <c r="H39" s="174"/>
      <c r="I39" s="231"/>
      <c r="J39" s="174"/>
      <c r="K39" s="180"/>
      <c r="L39" s="174"/>
      <c r="M39" s="174"/>
      <c r="N39" s="174"/>
      <c r="O39" s="174"/>
      <c r="P39" s="174"/>
      <c r="Q39" s="104"/>
      <c r="R39" s="180"/>
      <c r="S39" s="104"/>
      <c r="T39" s="243"/>
      <c r="U39" s="244"/>
      <c r="V39" s="104"/>
      <c r="W39" s="104"/>
      <c r="X39" s="104"/>
      <c r="Y39" s="104"/>
      <c r="Z39" s="104"/>
    </row>
    <row r="40">
      <c r="A40" s="174"/>
      <c r="B40" s="174"/>
      <c r="C40" s="174"/>
      <c r="D40" s="174"/>
      <c r="E40" s="174"/>
      <c r="F40" s="174"/>
      <c r="G40" s="174"/>
      <c r="H40" s="174"/>
      <c r="I40" s="231"/>
      <c r="J40" s="174"/>
      <c r="K40" s="180"/>
      <c r="L40" s="174"/>
      <c r="M40" s="174"/>
      <c r="N40" s="174"/>
      <c r="O40" s="174"/>
      <c r="P40" s="174"/>
      <c r="Q40" s="104"/>
      <c r="R40" s="180"/>
      <c r="S40" s="104"/>
      <c r="T40" s="243"/>
      <c r="U40" s="244"/>
      <c r="V40" s="104"/>
      <c r="W40" s="104"/>
      <c r="X40" s="104"/>
      <c r="Y40" s="104"/>
      <c r="Z40" s="104"/>
    </row>
    <row r="41">
      <c r="A41" s="174"/>
      <c r="B41" s="174"/>
      <c r="C41" s="174"/>
      <c r="D41" s="174"/>
      <c r="E41" s="174"/>
      <c r="F41" s="174"/>
      <c r="G41" s="174"/>
      <c r="H41" s="174"/>
      <c r="I41" s="231"/>
      <c r="J41" s="174"/>
      <c r="K41" s="180"/>
      <c r="L41" s="174"/>
      <c r="M41" s="174"/>
      <c r="N41" s="174"/>
      <c r="O41" s="174"/>
      <c r="P41" s="174"/>
      <c r="Q41" s="104"/>
      <c r="R41" s="180"/>
      <c r="S41" s="104"/>
      <c r="T41" s="243"/>
      <c r="U41" s="244"/>
      <c r="V41" s="104"/>
      <c r="W41" s="104"/>
      <c r="X41" s="104"/>
      <c r="Y41" s="104"/>
      <c r="Z41" s="104"/>
    </row>
    <row r="42">
      <c r="A42" s="174"/>
      <c r="B42" s="174"/>
      <c r="C42" s="174"/>
      <c r="D42" s="174"/>
      <c r="E42" s="174"/>
      <c r="F42" s="174"/>
      <c r="G42" s="174"/>
      <c r="H42" s="174"/>
      <c r="I42" s="231"/>
      <c r="J42" s="174"/>
      <c r="K42" s="180"/>
      <c r="L42" s="174"/>
      <c r="M42" s="174"/>
      <c r="N42" s="174"/>
      <c r="O42" s="174"/>
      <c r="P42" s="174"/>
      <c r="Q42" s="104"/>
      <c r="R42" s="180"/>
      <c r="S42" s="104"/>
      <c r="T42" s="243"/>
      <c r="U42" s="244"/>
      <c r="V42" s="104"/>
      <c r="W42" s="104"/>
      <c r="X42" s="104"/>
      <c r="Y42" s="104"/>
      <c r="Z42" s="104"/>
    </row>
    <row r="43">
      <c r="A43" s="174"/>
      <c r="B43" s="174"/>
      <c r="C43" s="174"/>
      <c r="D43" s="174"/>
      <c r="E43" s="174"/>
      <c r="F43" s="174"/>
      <c r="G43" s="174"/>
      <c r="H43" s="174"/>
      <c r="I43" s="231"/>
      <c r="J43" s="174"/>
      <c r="K43" s="180"/>
      <c r="L43" s="174"/>
      <c r="M43" s="174"/>
      <c r="N43" s="174"/>
      <c r="O43" s="174"/>
      <c r="P43" s="174"/>
      <c r="Q43" s="104"/>
      <c r="R43" s="180"/>
      <c r="S43" s="104"/>
      <c r="T43" s="243"/>
      <c r="U43" s="244"/>
      <c r="V43" s="104"/>
      <c r="W43" s="104"/>
      <c r="X43" s="104"/>
      <c r="Y43" s="104"/>
      <c r="Z43" s="104"/>
    </row>
    <row r="44">
      <c r="A44" s="174"/>
      <c r="B44" s="174"/>
      <c r="C44" s="174"/>
      <c r="D44" s="174"/>
      <c r="E44" s="174"/>
      <c r="F44" s="174"/>
      <c r="G44" s="174"/>
      <c r="H44" s="174"/>
      <c r="I44" s="231"/>
      <c r="J44" s="174"/>
      <c r="K44" s="180"/>
      <c r="L44" s="174"/>
      <c r="M44" s="174"/>
      <c r="N44" s="174"/>
      <c r="O44" s="174"/>
      <c r="P44" s="174"/>
      <c r="Q44" s="104"/>
      <c r="R44" s="180"/>
      <c r="S44" s="104"/>
      <c r="T44" s="243"/>
      <c r="U44" s="244"/>
      <c r="V44" s="104"/>
      <c r="W44" s="104"/>
      <c r="X44" s="104"/>
      <c r="Y44" s="104"/>
      <c r="Z44" s="104"/>
    </row>
    <row r="45">
      <c r="A45" s="174"/>
      <c r="B45" s="174"/>
      <c r="C45" s="174"/>
      <c r="D45" s="174"/>
      <c r="E45" s="174"/>
      <c r="F45" s="174"/>
      <c r="G45" s="174"/>
      <c r="H45" s="174"/>
      <c r="I45" s="231"/>
      <c r="J45" s="174"/>
      <c r="K45" s="180"/>
      <c r="L45" s="174"/>
      <c r="M45" s="174"/>
      <c r="N45" s="174"/>
      <c r="O45" s="174"/>
      <c r="P45" s="174"/>
      <c r="Q45" s="104"/>
      <c r="R45" s="180"/>
      <c r="S45" s="104"/>
      <c r="T45" s="243"/>
      <c r="U45" s="244"/>
      <c r="V45" s="104"/>
      <c r="W45" s="104"/>
      <c r="X45" s="104"/>
      <c r="Y45" s="104"/>
      <c r="Z45" s="104"/>
    </row>
    <row r="46">
      <c r="A46" s="174"/>
      <c r="B46" s="174"/>
      <c r="C46" s="174"/>
      <c r="D46" s="174"/>
      <c r="E46" s="174"/>
      <c r="F46" s="174"/>
      <c r="G46" s="174"/>
      <c r="H46" s="174"/>
      <c r="I46" s="231"/>
      <c r="J46" s="174"/>
      <c r="K46" s="180"/>
      <c r="L46" s="174"/>
      <c r="M46" s="174"/>
      <c r="N46" s="174"/>
      <c r="O46" s="174"/>
      <c r="P46" s="174"/>
      <c r="Q46" s="104"/>
      <c r="R46" s="180"/>
      <c r="S46" s="104"/>
      <c r="T46" s="243"/>
      <c r="U46" s="244"/>
      <c r="V46" s="104"/>
      <c r="W46" s="104"/>
      <c r="X46" s="104"/>
      <c r="Y46" s="104"/>
      <c r="Z46" s="104"/>
    </row>
  </sheetData>
  <mergeCells count="14">
    <mergeCell ref="D3:E3"/>
    <mergeCell ref="C35:F35"/>
    <mergeCell ref="H35:J35"/>
    <mergeCell ref="L35:M35"/>
    <mergeCell ref="N35:P35"/>
    <mergeCell ref="L37:M37"/>
    <mergeCell ref="N37:P37"/>
    <mergeCell ref="B1:D1"/>
    <mergeCell ref="E1:G1"/>
    <mergeCell ref="H1:I1"/>
    <mergeCell ref="J1:K1"/>
    <mergeCell ref="L1:M1"/>
    <mergeCell ref="N1:P1"/>
    <mergeCell ref="F3:G3"/>
  </mergeCell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15.88"/>
    <col customWidth="1" min="2" max="3" width="23.25"/>
    <col customWidth="1" min="4" max="4" width="22.38"/>
  </cols>
  <sheetData>
    <row r="1" ht="30.0" customHeight="1">
      <c r="A1" s="277" t="s">
        <v>14</v>
      </c>
      <c r="B1" s="277" t="s">
        <v>15</v>
      </c>
      <c r="C1" s="17" t="s">
        <v>16</v>
      </c>
      <c r="D1" s="17" t="s">
        <v>18</v>
      </c>
      <c r="E1" s="105" t="s">
        <v>20</v>
      </c>
    </row>
    <row r="2" ht="30.0" customHeight="1">
      <c r="A2" s="278">
        <v>29758.0</v>
      </c>
      <c r="B2" s="279" t="s">
        <v>33</v>
      </c>
      <c r="C2" s="48" t="s">
        <v>34</v>
      </c>
      <c r="D2" s="48" t="s">
        <v>36</v>
      </c>
      <c r="E2" s="114">
        <v>1.0</v>
      </c>
    </row>
    <row r="3" ht="30.0" customHeight="1">
      <c r="A3" s="278">
        <v>29102.0</v>
      </c>
      <c r="B3" s="279" t="s">
        <v>127</v>
      </c>
      <c r="C3" s="48" t="s">
        <v>128</v>
      </c>
      <c r="D3" s="48" t="s">
        <v>129</v>
      </c>
      <c r="E3" s="114">
        <f t="shared" ref="E3:E34" si="1">E2+1</f>
        <v>2</v>
      </c>
    </row>
    <row r="4" ht="30.0" customHeight="1">
      <c r="A4" s="278">
        <v>17036.0</v>
      </c>
      <c r="B4" s="279" t="s">
        <v>133</v>
      </c>
      <c r="C4" s="48" t="s">
        <v>134</v>
      </c>
      <c r="D4" s="48" t="s">
        <v>128</v>
      </c>
      <c r="E4" s="114">
        <f t="shared" si="1"/>
        <v>3</v>
      </c>
      <c r="I4" s="280" t="s">
        <v>233</v>
      </c>
    </row>
    <row r="5" ht="30.0" customHeight="1">
      <c r="A5" s="278">
        <v>19489.0</v>
      </c>
      <c r="B5" s="279" t="s">
        <v>136</v>
      </c>
      <c r="C5" s="48" t="s">
        <v>137</v>
      </c>
      <c r="D5" s="48" t="s">
        <v>138</v>
      </c>
      <c r="E5" s="114">
        <f t="shared" si="1"/>
        <v>4</v>
      </c>
    </row>
    <row r="6" ht="30.0" customHeight="1">
      <c r="A6" s="278">
        <v>26511.0</v>
      </c>
      <c r="B6" s="279" t="s">
        <v>43</v>
      </c>
      <c r="C6" s="48" t="s">
        <v>44</v>
      </c>
      <c r="D6" s="48" t="s">
        <v>45</v>
      </c>
      <c r="E6" s="114">
        <f t="shared" si="1"/>
        <v>5</v>
      </c>
    </row>
    <row r="7" ht="30.0" customHeight="1">
      <c r="A7" s="278">
        <v>27595.0</v>
      </c>
      <c r="B7" s="279" t="s">
        <v>49</v>
      </c>
      <c r="C7" s="48" t="s">
        <v>50</v>
      </c>
      <c r="D7" s="48" t="s">
        <v>51</v>
      </c>
      <c r="E7" s="114">
        <f t="shared" si="1"/>
        <v>6</v>
      </c>
    </row>
    <row r="8" ht="30.0" customHeight="1">
      <c r="A8" s="278">
        <v>21596.0</v>
      </c>
      <c r="B8" s="279" t="s">
        <v>142</v>
      </c>
      <c r="C8" s="48" t="s">
        <v>143</v>
      </c>
      <c r="D8" s="142" t="s">
        <v>144</v>
      </c>
      <c r="E8" s="114">
        <f t="shared" si="1"/>
        <v>7</v>
      </c>
    </row>
    <row r="9" ht="30.0" customHeight="1">
      <c r="A9" s="278">
        <v>12965.0</v>
      </c>
      <c r="B9" s="279" t="s">
        <v>146</v>
      </c>
      <c r="C9" s="48" t="s">
        <v>147</v>
      </c>
      <c r="D9" s="48" t="s">
        <v>148</v>
      </c>
      <c r="E9" s="114">
        <f t="shared" si="1"/>
        <v>8</v>
      </c>
    </row>
    <row r="10" ht="30.0" customHeight="1">
      <c r="A10" s="278">
        <v>17434.0</v>
      </c>
      <c r="B10" s="281"/>
      <c r="C10" s="48" t="s">
        <v>55</v>
      </c>
      <c r="D10" s="48" t="s">
        <v>50</v>
      </c>
      <c r="E10" s="114">
        <f t="shared" si="1"/>
        <v>9</v>
      </c>
    </row>
    <row r="11" ht="30.0" customHeight="1">
      <c r="A11" s="278">
        <v>26988.0</v>
      </c>
      <c r="B11" s="279" t="s">
        <v>151</v>
      </c>
      <c r="C11" s="48" t="s">
        <v>148</v>
      </c>
      <c r="D11" s="48" t="s">
        <v>152</v>
      </c>
      <c r="E11" s="114">
        <f t="shared" si="1"/>
        <v>10</v>
      </c>
    </row>
    <row r="12" ht="30.0" customHeight="1">
      <c r="A12" s="278">
        <v>29319.0</v>
      </c>
      <c r="B12" s="279" t="s">
        <v>156</v>
      </c>
      <c r="C12" s="48" t="s">
        <v>157</v>
      </c>
      <c r="D12" s="48" t="s">
        <v>158</v>
      </c>
      <c r="E12" s="114">
        <f t="shared" si="1"/>
        <v>11</v>
      </c>
    </row>
    <row r="13" ht="30.0" customHeight="1">
      <c r="A13" s="278">
        <v>23484.0</v>
      </c>
      <c r="B13" s="279" t="s">
        <v>205</v>
      </c>
      <c r="C13" s="48" t="s">
        <v>206</v>
      </c>
      <c r="D13" s="48" t="s">
        <v>207</v>
      </c>
      <c r="E13" s="114">
        <f t="shared" si="1"/>
        <v>12</v>
      </c>
    </row>
    <row r="14" ht="30.0" customHeight="1">
      <c r="A14" s="278">
        <v>29895.0</v>
      </c>
      <c r="B14" s="279" t="s">
        <v>160</v>
      </c>
      <c r="C14" s="48" t="s">
        <v>161</v>
      </c>
      <c r="D14" s="48" t="s">
        <v>162</v>
      </c>
      <c r="E14" s="114">
        <f t="shared" si="1"/>
        <v>13</v>
      </c>
    </row>
    <row r="15" ht="30.0" customHeight="1">
      <c r="A15" s="278">
        <v>21551.0</v>
      </c>
      <c r="B15" s="279" t="s">
        <v>165</v>
      </c>
      <c r="C15" s="48" t="s">
        <v>80</v>
      </c>
      <c r="D15" s="48" t="s">
        <v>166</v>
      </c>
      <c r="E15" s="114">
        <f t="shared" si="1"/>
        <v>14</v>
      </c>
    </row>
    <row r="16" ht="30.0" customHeight="1">
      <c r="A16" s="278">
        <v>20261.0</v>
      </c>
      <c r="B16" s="279" t="s">
        <v>59</v>
      </c>
      <c r="C16" s="48" t="s">
        <v>60</v>
      </c>
      <c r="D16" s="48" t="s">
        <v>61</v>
      </c>
      <c r="E16" s="114">
        <f t="shared" si="1"/>
        <v>15</v>
      </c>
    </row>
    <row r="17" ht="30.0" customHeight="1">
      <c r="A17" s="278">
        <v>27784.0</v>
      </c>
      <c r="B17" s="279" t="s">
        <v>169</v>
      </c>
      <c r="C17" s="48" t="s">
        <v>170</v>
      </c>
      <c r="D17" s="48" t="s">
        <v>171</v>
      </c>
      <c r="E17" s="114">
        <f t="shared" si="1"/>
        <v>16</v>
      </c>
    </row>
    <row r="18" ht="30.0" customHeight="1">
      <c r="A18" s="278">
        <v>19786.0</v>
      </c>
      <c r="B18" s="279" t="s">
        <v>65</v>
      </c>
      <c r="C18" s="48" t="s">
        <v>66</v>
      </c>
      <c r="D18" s="48" t="s">
        <v>67</v>
      </c>
      <c r="E18" s="114">
        <f t="shared" si="1"/>
        <v>17</v>
      </c>
    </row>
    <row r="19" ht="30.0" customHeight="1">
      <c r="A19" s="278">
        <v>23531.0</v>
      </c>
      <c r="B19" s="279" t="s">
        <v>71</v>
      </c>
      <c r="C19" s="48" t="s">
        <v>72</v>
      </c>
      <c r="D19" s="48" t="s">
        <v>73</v>
      </c>
      <c r="E19" s="114">
        <f t="shared" si="1"/>
        <v>18</v>
      </c>
    </row>
    <row r="20" ht="30.0" customHeight="1">
      <c r="A20" s="278">
        <v>19299.0</v>
      </c>
      <c r="B20" s="279" t="s">
        <v>173</v>
      </c>
      <c r="C20" s="48" t="s">
        <v>174</v>
      </c>
      <c r="D20" s="48" t="s">
        <v>175</v>
      </c>
      <c r="E20" s="114">
        <f t="shared" si="1"/>
        <v>19</v>
      </c>
    </row>
    <row r="21" ht="30.0" customHeight="1">
      <c r="A21" s="278">
        <v>22526.0</v>
      </c>
      <c r="B21" s="282" t="s">
        <v>178</v>
      </c>
      <c r="C21" s="48" t="s">
        <v>179</v>
      </c>
      <c r="D21" s="48" t="s">
        <v>180</v>
      </c>
      <c r="E21" s="114">
        <f t="shared" si="1"/>
        <v>20</v>
      </c>
    </row>
    <row r="22" ht="30.0" customHeight="1">
      <c r="A22" s="278">
        <v>27546.0</v>
      </c>
      <c r="B22" s="282" t="s">
        <v>181</v>
      </c>
      <c r="C22" s="48" t="s">
        <v>182</v>
      </c>
      <c r="D22" s="48" t="s">
        <v>183</v>
      </c>
      <c r="E22" s="138">
        <f t="shared" si="1"/>
        <v>21</v>
      </c>
    </row>
    <row r="23" ht="30.0" customHeight="1">
      <c r="A23" s="278">
        <v>30189.0</v>
      </c>
      <c r="B23" s="282" t="s">
        <v>78</v>
      </c>
      <c r="C23" s="48" t="s">
        <v>79</v>
      </c>
      <c r="D23" s="48" t="s">
        <v>80</v>
      </c>
      <c r="E23" s="138">
        <f t="shared" si="1"/>
        <v>22</v>
      </c>
    </row>
    <row r="24" ht="30.0" customHeight="1">
      <c r="A24" s="278">
        <v>26665.0</v>
      </c>
      <c r="B24" s="282" t="s">
        <v>82</v>
      </c>
      <c r="C24" s="48" t="s">
        <v>83</v>
      </c>
      <c r="D24" s="48" t="s">
        <v>84</v>
      </c>
      <c r="E24" s="138">
        <f t="shared" si="1"/>
        <v>23</v>
      </c>
    </row>
    <row r="25" ht="30.0" customHeight="1">
      <c r="A25" s="278">
        <v>26511.0</v>
      </c>
      <c r="B25" s="282" t="s">
        <v>186</v>
      </c>
      <c r="C25" s="48" t="s">
        <v>187</v>
      </c>
      <c r="D25" s="48" t="s">
        <v>188</v>
      </c>
      <c r="E25" s="138">
        <f t="shared" si="1"/>
        <v>24</v>
      </c>
    </row>
    <row r="26" ht="30.0" customHeight="1">
      <c r="A26" s="278">
        <v>29543.0</v>
      </c>
      <c r="B26" s="282" t="s">
        <v>87</v>
      </c>
      <c r="C26" s="48" t="s">
        <v>88</v>
      </c>
      <c r="D26" s="48" t="s">
        <v>89</v>
      </c>
      <c r="E26" s="138">
        <f t="shared" si="1"/>
        <v>25</v>
      </c>
    </row>
    <row r="27" ht="30.0" customHeight="1">
      <c r="A27" s="278">
        <v>25571.0</v>
      </c>
      <c r="B27" s="282" t="s">
        <v>190</v>
      </c>
      <c r="C27" s="48" t="s">
        <v>191</v>
      </c>
      <c r="D27" s="48" t="s">
        <v>192</v>
      </c>
      <c r="E27" s="138">
        <f t="shared" si="1"/>
        <v>26</v>
      </c>
    </row>
    <row r="28" ht="30.0" customHeight="1">
      <c r="A28" s="278">
        <v>22937.0</v>
      </c>
      <c r="B28" s="282" t="s">
        <v>92</v>
      </c>
      <c r="C28" s="48" t="s">
        <v>93</v>
      </c>
      <c r="D28" s="48" t="s">
        <v>94</v>
      </c>
      <c r="E28" s="138">
        <f t="shared" si="1"/>
        <v>27</v>
      </c>
    </row>
    <row r="29" ht="30.0" customHeight="1">
      <c r="A29" s="283">
        <v>28888.0</v>
      </c>
      <c r="B29" s="282" t="s">
        <v>118</v>
      </c>
      <c r="C29" s="48" t="s">
        <v>119</v>
      </c>
      <c r="D29" s="48" t="s">
        <v>120</v>
      </c>
      <c r="E29" s="138">
        <f t="shared" si="1"/>
        <v>28</v>
      </c>
    </row>
    <row r="30" ht="30.0" customHeight="1">
      <c r="A30" s="278">
        <v>22922.0</v>
      </c>
      <c r="B30" s="279" t="s">
        <v>193</v>
      </c>
      <c r="C30" s="48" t="s">
        <v>194</v>
      </c>
      <c r="D30" s="48" t="s">
        <v>195</v>
      </c>
      <c r="E30" s="138">
        <f t="shared" si="1"/>
        <v>29</v>
      </c>
    </row>
    <row r="31" ht="30.0" customHeight="1">
      <c r="A31" s="278">
        <v>18272.0</v>
      </c>
      <c r="B31" s="279" t="s">
        <v>197</v>
      </c>
      <c r="C31" s="48" t="s">
        <v>198</v>
      </c>
      <c r="D31" s="48" t="s">
        <v>199</v>
      </c>
      <c r="E31" s="138">
        <f t="shared" si="1"/>
        <v>30</v>
      </c>
    </row>
    <row r="32" ht="30.0" customHeight="1">
      <c r="A32" s="278">
        <v>30033.0</v>
      </c>
      <c r="B32" s="279" t="s">
        <v>101</v>
      </c>
      <c r="C32" s="48" t="s">
        <v>50</v>
      </c>
      <c r="D32" s="48" t="s">
        <v>102</v>
      </c>
      <c r="E32" s="138">
        <f t="shared" si="1"/>
        <v>31</v>
      </c>
    </row>
    <row r="33" ht="30.0" customHeight="1">
      <c r="A33" s="284">
        <v>13473.0</v>
      </c>
      <c r="B33" s="285" t="s">
        <v>106</v>
      </c>
      <c r="C33" s="286" t="s">
        <v>107</v>
      </c>
      <c r="D33" s="286" t="s">
        <v>108</v>
      </c>
      <c r="E33" s="138">
        <f t="shared" si="1"/>
        <v>32</v>
      </c>
    </row>
    <row r="34" ht="30.75" customHeight="1">
      <c r="A34" s="55">
        <v>20090.0</v>
      </c>
      <c r="B34" s="287" t="s">
        <v>101</v>
      </c>
      <c r="C34" s="48" t="s">
        <v>112</v>
      </c>
      <c r="D34" s="48" t="s">
        <v>113</v>
      </c>
      <c r="E34" s="138">
        <f t="shared" si="1"/>
        <v>33</v>
      </c>
    </row>
    <row r="35">
      <c r="A35" s="1"/>
      <c r="B35" s="288"/>
      <c r="C35" s="21"/>
      <c r="D35" s="21"/>
    </row>
    <row r="36">
      <c r="A36" s="1"/>
      <c r="B36" s="288"/>
      <c r="C36" s="21"/>
      <c r="D36" s="21"/>
    </row>
    <row r="37">
      <c r="A37" s="1"/>
      <c r="B37" s="288"/>
      <c r="C37" s="21"/>
      <c r="D37" s="21"/>
    </row>
    <row r="38">
      <c r="A38" s="1"/>
      <c r="B38" s="288"/>
      <c r="C38" s="21"/>
      <c r="D38" s="21"/>
    </row>
    <row r="39">
      <c r="A39" s="1"/>
      <c r="B39" s="288"/>
      <c r="C39" s="21"/>
      <c r="D39" s="21"/>
    </row>
    <row r="40">
      <c r="A40" s="1"/>
      <c r="B40" s="288"/>
      <c r="C40" s="21"/>
      <c r="D40" s="21"/>
    </row>
    <row r="41">
      <c r="A41" s="1"/>
      <c r="B41" s="288"/>
      <c r="C41" s="21"/>
      <c r="D41" s="21"/>
    </row>
    <row r="42">
      <c r="A42" s="1"/>
      <c r="B42" s="288"/>
      <c r="C42" s="21"/>
      <c r="D42" s="21"/>
    </row>
    <row r="43">
      <c r="A43" s="1"/>
      <c r="B43" s="288"/>
      <c r="C43" s="21"/>
      <c r="D43" s="21"/>
    </row>
    <row r="44">
      <c r="A44" s="1"/>
      <c r="B44" s="288"/>
      <c r="C44" s="21"/>
      <c r="D44" s="21"/>
    </row>
    <row r="45">
      <c r="A45" s="1"/>
      <c r="B45" s="288"/>
      <c r="C45" s="21"/>
      <c r="D45" s="21"/>
    </row>
    <row r="46">
      <c r="A46" s="1"/>
      <c r="B46" s="288"/>
      <c r="C46" s="21"/>
      <c r="D46" s="21"/>
    </row>
    <row r="47">
      <c r="A47" s="1"/>
      <c r="B47" s="288"/>
      <c r="C47" s="21"/>
      <c r="D47" s="21"/>
    </row>
    <row r="48">
      <c r="A48" s="1"/>
      <c r="B48" s="288"/>
      <c r="C48" s="21"/>
      <c r="D48" s="21"/>
    </row>
    <row r="49">
      <c r="A49" s="1"/>
      <c r="B49" s="288"/>
      <c r="C49" s="21"/>
      <c r="D49" s="21"/>
    </row>
    <row r="50">
      <c r="A50" s="1"/>
      <c r="B50" s="288"/>
      <c r="C50" s="21"/>
      <c r="D50" s="21"/>
    </row>
    <row r="51">
      <c r="A51" s="1"/>
      <c r="B51" s="288"/>
      <c r="C51" s="21"/>
      <c r="D51" s="21"/>
    </row>
    <row r="52">
      <c r="A52" s="1"/>
      <c r="B52" s="288"/>
      <c r="C52" s="21"/>
      <c r="D52" s="21"/>
    </row>
    <row r="53">
      <c r="A53" s="1"/>
      <c r="B53" s="288"/>
      <c r="C53" s="21"/>
      <c r="D53" s="21"/>
    </row>
    <row r="54">
      <c r="A54" s="1"/>
      <c r="B54" s="288"/>
      <c r="C54" s="21"/>
      <c r="D54" s="21"/>
    </row>
    <row r="55">
      <c r="A55" s="1"/>
      <c r="B55" s="288"/>
      <c r="C55" s="21"/>
      <c r="D55" s="21"/>
    </row>
    <row r="56">
      <c r="A56" s="1"/>
      <c r="B56" s="288"/>
      <c r="C56" s="21"/>
      <c r="D56" s="21"/>
    </row>
    <row r="57">
      <c r="A57" s="1"/>
      <c r="B57" s="288"/>
      <c r="C57" s="21"/>
      <c r="D57" s="21"/>
    </row>
    <row r="58">
      <c r="A58" s="1"/>
      <c r="B58" s="288"/>
      <c r="C58" s="21"/>
      <c r="D58" s="21"/>
    </row>
    <row r="59">
      <c r="A59" s="1"/>
      <c r="B59" s="288"/>
      <c r="C59" s="21"/>
      <c r="D59" s="21"/>
    </row>
    <row r="60">
      <c r="A60" s="1"/>
      <c r="B60" s="288"/>
      <c r="C60" s="21"/>
      <c r="D60" s="21"/>
    </row>
    <row r="61">
      <c r="A61" s="1"/>
      <c r="B61" s="288"/>
      <c r="C61" s="21"/>
      <c r="D61" s="21"/>
    </row>
    <row r="62">
      <c r="A62" s="1"/>
      <c r="B62" s="288"/>
      <c r="C62" s="21"/>
      <c r="D62" s="21"/>
    </row>
    <row r="63">
      <c r="A63" s="1"/>
      <c r="B63" s="288"/>
      <c r="C63" s="21"/>
      <c r="D63" s="21"/>
    </row>
    <row r="64">
      <c r="A64" s="1"/>
      <c r="B64" s="288"/>
      <c r="C64" s="21"/>
      <c r="D64" s="21"/>
    </row>
    <row r="65">
      <c r="A65" s="1"/>
      <c r="B65" s="288"/>
      <c r="C65" s="21"/>
      <c r="D65" s="21"/>
    </row>
    <row r="66">
      <c r="A66" s="1"/>
      <c r="B66" s="288"/>
      <c r="C66" s="21"/>
      <c r="D66" s="21"/>
    </row>
    <row r="67">
      <c r="A67" s="1"/>
      <c r="B67" s="288"/>
      <c r="C67" s="21"/>
      <c r="D67" s="21"/>
    </row>
    <row r="68">
      <c r="A68" s="1"/>
      <c r="B68" s="288"/>
      <c r="C68" s="21"/>
      <c r="D68" s="21"/>
    </row>
    <row r="69">
      <c r="A69" s="1"/>
      <c r="B69" s="288"/>
      <c r="C69" s="21"/>
      <c r="D69" s="21"/>
    </row>
    <row r="70">
      <c r="A70" s="1"/>
      <c r="B70" s="288"/>
      <c r="C70" s="21"/>
      <c r="D70" s="21"/>
    </row>
    <row r="71">
      <c r="A71" s="1"/>
      <c r="B71" s="288"/>
      <c r="C71" s="21"/>
      <c r="D71" s="21"/>
    </row>
    <row r="72">
      <c r="A72" s="1"/>
      <c r="B72" s="288"/>
      <c r="C72" s="21"/>
      <c r="D72" s="21"/>
    </row>
    <row r="73">
      <c r="A73" s="1"/>
      <c r="B73" s="288"/>
      <c r="C73" s="21"/>
      <c r="D73" s="21"/>
    </row>
    <row r="74">
      <c r="A74" s="1"/>
      <c r="B74" s="288"/>
      <c r="C74" s="21"/>
      <c r="D74" s="21"/>
    </row>
    <row r="75">
      <c r="A75" s="1"/>
      <c r="B75" s="288"/>
      <c r="C75" s="21"/>
      <c r="D75" s="21"/>
    </row>
    <row r="76">
      <c r="A76" s="1"/>
      <c r="B76" s="288"/>
      <c r="C76" s="21"/>
      <c r="D76" s="21"/>
    </row>
    <row r="77">
      <c r="A77" s="1"/>
      <c r="B77" s="288"/>
      <c r="C77" s="21"/>
      <c r="D77" s="21"/>
    </row>
    <row r="78">
      <c r="A78" s="1"/>
      <c r="B78" s="288"/>
      <c r="C78" s="21"/>
      <c r="D78" s="21"/>
    </row>
    <row r="79">
      <c r="A79" s="1"/>
      <c r="B79" s="288"/>
      <c r="C79" s="21"/>
      <c r="D79" s="21"/>
    </row>
    <row r="80">
      <c r="A80" s="1"/>
      <c r="B80" s="288"/>
      <c r="C80" s="21"/>
      <c r="D80" s="21"/>
    </row>
    <row r="81">
      <c r="A81" s="1"/>
      <c r="B81" s="288"/>
      <c r="C81" s="21"/>
      <c r="D81" s="21"/>
    </row>
    <row r="82">
      <c r="A82" s="1"/>
      <c r="B82" s="288"/>
      <c r="C82" s="21"/>
      <c r="D82" s="21"/>
    </row>
    <row r="83">
      <c r="A83" s="1"/>
      <c r="B83" s="288"/>
      <c r="C83" s="21"/>
      <c r="D83" s="21"/>
    </row>
    <row r="84">
      <c r="A84" s="1"/>
      <c r="B84" s="288"/>
      <c r="C84" s="21"/>
      <c r="D84" s="21"/>
    </row>
    <row r="85">
      <c r="A85" s="1"/>
      <c r="B85" s="288"/>
      <c r="C85" s="21"/>
      <c r="D85" s="21"/>
    </row>
    <row r="86">
      <c r="A86" s="1"/>
      <c r="B86" s="288"/>
      <c r="C86" s="21"/>
      <c r="D86" s="21"/>
    </row>
    <row r="87">
      <c r="A87" s="1"/>
      <c r="B87" s="288"/>
      <c r="C87" s="21"/>
      <c r="D87" s="21"/>
    </row>
    <row r="88">
      <c r="A88" s="1"/>
      <c r="B88" s="288"/>
      <c r="C88" s="21"/>
      <c r="D88" s="21"/>
    </row>
    <row r="89">
      <c r="A89" s="1"/>
      <c r="B89" s="288"/>
      <c r="C89" s="21"/>
      <c r="D89" s="21"/>
    </row>
    <row r="90">
      <c r="A90" s="1"/>
      <c r="B90" s="288"/>
      <c r="C90" s="21"/>
      <c r="D90" s="21"/>
    </row>
    <row r="91">
      <c r="A91" s="1"/>
      <c r="B91" s="288"/>
      <c r="C91" s="21"/>
      <c r="D91" s="21"/>
    </row>
    <row r="92">
      <c r="A92" s="1"/>
      <c r="B92" s="288"/>
      <c r="C92" s="21"/>
      <c r="D92" s="21"/>
    </row>
    <row r="93">
      <c r="A93" s="1"/>
      <c r="B93" s="288"/>
      <c r="C93" s="21"/>
      <c r="D93" s="21"/>
    </row>
    <row r="94">
      <c r="A94" s="1"/>
      <c r="B94" s="288"/>
      <c r="C94" s="21"/>
      <c r="D94" s="21"/>
    </row>
    <row r="95">
      <c r="A95" s="1"/>
      <c r="B95" s="288"/>
      <c r="C95" s="21"/>
      <c r="D95" s="21"/>
    </row>
    <row r="96">
      <c r="A96" s="1"/>
      <c r="B96" s="288"/>
      <c r="C96" s="21"/>
      <c r="D96" s="21"/>
    </row>
    <row r="97">
      <c r="A97" s="1"/>
      <c r="B97" s="288"/>
      <c r="C97" s="21"/>
      <c r="D97" s="21"/>
    </row>
    <row r="98">
      <c r="A98" s="1"/>
      <c r="B98" s="288"/>
      <c r="C98" s="21"/>
      <c r="D98" s="21"/>
    </row>
    <row r="99">
      <c r="A99" s="1"/>
      <c r="B99" s="288"/>
      <c r="C99" s="21"/>
      <c r="D99" s="21"/>
    </row>
    <row r="100">
      <c r="A100" s="1"/>
      <c r="B100" s="288"/>
      <c r="C100" s="21"/>
      <c r="D100" s="21"/>
    </row>
    <row r="101">
      <c r="A101" s="1"/>
      <c r="B101" s="288"/>
      <c r="C101" s="21"/>
      <c r="D101" s="21"/>
    </row>
    <row r="102">
      <c r="A102" s="1"/>
      <c r="B102" s="288"/>
      <c r="C102" s="21"/>
      <c r="D102" s="21"/>
    </row>
    <row r="103">
      <c r="A103" s="1"/>
      <c r="B103" s="288"/>
      <c r="C103" s="21"/>
      <c r="D103" s="21"/>
    </row>
    <row r="104">
      <c r="A104" s="1"/>
      <c r="B104" s="288"/>
      <c r="C104" s="21"/>
      <c r="D104" s="21"/>
    </row>
    <row r="105">
      <c r="A105" s="1"/>
      <c r="B105" s="288"/>
      <c r="C105" s="21"/>
      <c r="D105" s="21"/>
    </row>
    <row r="106">
      <c r="A106" s="1"/>
      <c r="B106" s="288"/>
      <c r="C106" s="21"/>
      <c r="D106" s="21"/>
    </row>
    <row r="107">
      <c r="A107" s="1"/>
      <c r="B107" s="288"/>
      <c r="C107" s="21"/>
      <c r="D107" s="21"/>
    </row>
    <row r="108">
      <c r="A108" s="1"/>
      <c r="B108" s="288"/>
      <c r="C108" s="21"/>
      <c r="D108" s="21"/>
    </row>
    <row r="109">
      <c r="A109" s="1"/>
      <c r="B109" s="288"/>
      <c r="C109" s="21"/>
      <c r="D109" s="21"/>
    </row>
    <row r="110">
      <c r="A110" s="1"/>
      <c r="B110" s="288"/>
      <c r="C110" s="21"/>
      <c r="D110" s="21"/>
    </row>
    <row r="111">
      <c r="A111" s="1"/>
      <c r="B111" s="288"/>
      <c r="C111" s="21"/>
      <c r="D111" s="21"/>
    </row>
    <row r="112">
      <c r="A112" s="1"/>
      <c r="B112" s="288"/>
      <c r="C112" s="21"/>
      <c r="D112" s="21"/>
    </row>
    <row r="113">
      <c r="A113" s="1"/>
      <c r="B113" s="288"/>
      <c r="C113" s="21"/>
      <c r="D113" s="21"/>
    </row>
    <row r="114">
      <c r="A114" s="1"/>
      <c r="B114" s="288"/>
      <c r="C114" s="21"/>
      <c r="D114" s="21"/>
    </row>
    <row r="115">
      <c r="A115" s="1"/>
      <c r="B115" s="288"/>
      <c r="C115" s="21"/>
      <c r="D115" s="21"/>
    </row>
    <row r="116">
      <c r="A116" s="1"/>
      <c r="B116" s="288"/>
      <c r="C116" s="21"/>
      <c r="D116" s="21"/>
    </row>
    <row r="117">
      <c r="A117" s="1"/>
      <c r="B117" s="288"/>
      <c r="C117" s="21"/>
      <c r="D117" s="21"/>
    </row>
    <row r="118">
      <c r="A118" s="1"/>
      <c r="B118" s="288"/>
      <c r="C118" s="21"/>
      <c r="D118" s="21"/>
    </row>
    <row r="119">
      <c r="A119" s="1"/>
      <c r="B119" s="288"/>
      <c r="C119" s="21"/>
      <c r="D119" s="21"/>
    </row>
    <row r="120">
      <c r="A120" s="1"/>
      <c r="B120" s="288"/>
      <c r="C120" s="21"/>
      <c r="D120" s="21"/>
    </row>
    <row r="121">
      <c r="A121" s="1"/>
      <c r="B121" s="288"/>
      <c r="C121" s="21"/>
      <c r="D121" s="21"/>
    </row>
    <row r="122">
      <c r="A122" s="1"/>
      <c r="B122" s="288"/>
      <c r="C122" s="21"/>
      <c r="D122" s="21"/>
    </row>
    <row r="123">
      <c r="A123" s="1"/>
      <c r="B123" s="288"/>
      <c r="C123" s="21"/>
      <c r="D123" s="21"/>
    </row>
    <row r="124">
      <c r="A124" s="1"/>
      <c r="B124" s="288"/>
      <c r="C124" s="21"/>
      <c r="D124" s="21"/>
    </row>
    <row r="125">
      <c r="A125" s="1"/>
      <c r="B125" s="288"/>
      <c r="C125" s="21"/>
      <c r="D125" s="21"/>
    </row>
    <row r="126">
      <c r="A126" s="1"/>
      <c r="B126" s="288"/>
      <c r="C126" s="21"/>
      <c r="D126" s="21"/>
    </row>
    <row r="127">
      <c r="A127" s="1"/>
      <c r="B127" s="288"/>
      <c r="C127" s="21"/>
      <c r="D127" s="21"/>
    </row>
    <row r="128">
      <c r="A128" s="1"/>
      <c r="B128" s="288"/>
      <c r="C128" s="21"/>
      <c r="D128" s="21"/>
    </row>
    <row r="129">
      <c r="A129" s="1"/>
      <c r="B129" s="288"/>
      <c r="C129" s="21"/>
      <c r="D129" s="21"/>
    </row>
    <row r="130">
      <c r="A130" s="1"/>
      <c r="B130" s="288"/>
      <c r="C130" s="21"/>
      <c r="D130" s="21"/>
    </row>
    <row r="131">
      <c r="A131" s="1"/>
      <c r="B131" s="288"/>
      <c r="C131" s="21"/>
      <c r="D131" s="21"/>
    </row>
    <row r="132">
      <c r="A132" s="1"/>
      <c r="B132" s="288"/>
      <c r="C132" s="21"/>
      <c r="D132" s="21"/>
    </row>
    <row r="133">
      <c r="A133" s="1"/>
      <c r="B133" s="288"/>
      <c r="C133" s="21"/>
      <c r="D133" s="21"/>
    </row>
    <row r="134">
      <c r="A134" s="1"/>
      <c r="B134" s="288"/>
      <c r="C134" s="21"/>
      <c r="D134" s="21"/>
    </row>
    <row r="135">
      <c r="A135" s="1"/>
      <c r="B135" s="288"/>
      <c r="C135" s="21"/>
      <c r="D135" s="21"/>
    </row>
    <row r="136">
      <c r="A136" s="1"/>
      <c r="B136" s="288"/>
      <c r="C136" s="21"/>
      <c r="D136" s="21"/>
    </row>
    <row r="137">
      <c r="A137" s="1"/>
      <c r="B137" s="288"/>
      <c r="C137" s="21"/>
      <c r="D137" s="21"/>
    </row>
    <row r="138">
      <c r="A138" s="1"/>
      <c r="B138" s="288"/>
      <c r="C138" s="21"/>
      <c r="D138" s="21"/>
    </row>
    <row r="139">
      <c r="A139" s="1"/>
      <c r="B139" s="288"/>
      <c r="C139" s="21"/>
      <c r="D139" s="21"/>
    </row>
    <row r="140">
      <c r="A140" s="1"/>
      <c r="B140" s="288"/>
      <c r="C140" s="21"/>
      <c r="D140" s="21"/>
    </row>
    <row r="141">
      <c r="A141" s="1"/>
      <c r="B141" s="288"/>
      <c r="C141" s="21"/>
      <c r="D141" s="21"/>
    </row>
    <row r="142">
      <c r="A142" s="1"/>
      <c r="B142" s="288"/>
      <c r="C142" s="21"/>
      <c r="D142" s="21"/>
    </row>
    <row r="143">
      <c r="A143" s="1"/>
      <c r="B143" s="288"/>
      <c r="C143" s="21"/>
      <c r="D143" s="21"/>
    </row>
    <row r="144">
      <c r="A144" s="1"/>
      <c r="B144" s="288"/>
      <c r="C144" s="21"/>
      <c r="D144" s="21"/>
    </row>
    <row r="145">
      <c r="A145" s="1"/>
      <c r="B145" s="288"/>
      <c r="C145" s="21"/>
      <c r="D145" s="21"/>
    </row>
    <row r="146">
      <c r="A146" s="1"/>
      <c r="B146" s="288"/>
      <c r="C146" s="21"/>
      <c r="D146" s="21"/>
    </row>
    <row r="147">
      <c r="A147" s="1"/>
      <c r="B147" s="288"/>
      <c r="C147" s="21"/>
      <c r="D147" s="21"/>
    </row>
    <row r="148">
      <c r="A148" s="1"/>
      <c r="B148" s="288"/>
      <c r="C148" s="21"/>
      <c r="D148" s="21"/>
    </row>
    <row r="149">
      <c r="A149" s="1"/>
      <c r="B149" s="288"/>
      <c r="C149" s="21"/>
      <c r="D149" s="21"/>
    </row>
    <row r="150">
      <c r="A150" s="1"/>
      <c r="B150" s="288"/>
      <c r="C150" s="21"/>
      <c r="D150" s="21"/>
    </row>
    <row r="151">
      <c r="A151" s="1"/>
      <c r="B151" s="288"/>
      <c r="C151" s="21"/>
      <c r="D151" s="21"/>
    </row>
    <row r="152">
      <c r="A152" s="1"/>
      <c r="B152" s="288"/>
      <c r="C152" s="21"/>
      <c r="D152" s="21"/>
    </row>
    <row r="153">
      <c r="A153" s="1"/>
      <c r="B153" s="288"/>
      <c r="C153" s="21"/>
      <c r="D153" s="21"/>
    </row>
    <row r="154">
      <c r="A154" s="1"/>
      <c r="B154" s="288"/>
      <c r="C154" s="21"/>
      <c r="D154" s="21"/>
    </row>
    <row r="155">
      <c r="A155" s="1"/>
      <c r="B155" s="288"/>
      <c r="C155" s="21"/>
      <c r="D155" s="21"/>
    </row>
    <row r="156">
      <c r="A156" s="1"/>
      <c r="B156" s="288"/>
      <c r="C156" s="21"/>
      <c r="D156" s="21"/>
    </row>
    <row r="157">
      <c r="A157" s="1"/>
      <c r="B157" s="288"/>
      <c r="C157" s="21"/>
      <c r="D157" s="21"/>
    </row>
    <row r="158">
      <c r="A158" s="1"/>
      <c r="B158" s="288"/>
      <c r="C158" s="21"/>
      <c r="D158" s="21"/>
    </row>
    <row r="159">
      <c r="A159" s="1"/>
      <c r="B159" s="288"/>
      <c r="C159" s="21"/>
      <c r="D159" s="21"/>
    </row>
    <row r="160">
      <c r="A160" s="1"/>
      <c r="B160" s="288"/>
      <c r="C160" s="21"/>
      <c r="D160" s="21"/>
    </row>
    <row r="161">
      <c r="A161" s="1"/>
      <c r="B161" s="288"/>
      <c r="C161" s="21"/>
      <c r="D161" s="21"/>
    </row>
    <row r="162">
      <c r="A162" s="1"/>
      <c r="B162" s="288"/>
      <c r="C162" s="21"/>
      <c r="D162" s="21"/>
    </row>
    <row r="163">
      <c r="A163" s="1"/>
      <c r="B163" s="288"/>
      <c r="C163" s="21"/>
      <c r="D163" s="21"/>
    </row>
    <row r="164">
      <c r="A164" s="1"/>
      <c r="B164" s="288"/>
      <c r="C164" s="21"/>
      <c r="D164" s="21"/>
    </row>
    <row r="165">
      <c r="A165" s="1"/>
      <c r="B165" s="288"/>
      <c r="C165" s="21"/>
      <c r="D165" s="21"/>
    </row>
    <row r="166">
      <c r="A166" s="1"/>
      <c r="B166" s="288"/>
      <c r="C166" s="21"/>
      <c r="D166" s="21"/>
    </row>
    <row r="167">
      <c r="A167" s="1"/>
      <c r="B167" s="288"/>
      <c r="C167" s="21"/>
      <c r="D167" s="21"/>
    </row>
    <row r="168">
      <c r="A168" s="1"/>
      <c r="B168" s="288"/>
      <c r="C168" s="21"/>
      <c r="D168" s="21"/>
    </row>
    <row r="169">
      <c r="A169" s="1"/>
      <c r="B169" s="288"/>
      <c r="C169" s="21"/>
      <c r="D169" s="21"/>
    </row>
    <row r="170">
      <c r="A170" s="1"/>
      <c r="B170" s="288"/>
      <c r="C170" s="21"/>
      <c r="D170" s="21"/>
    </row>
    <row r="171">
      <c r="A171" s="1"/>
      <c r="B171" s="288"/>
      <c r="C171" s="21"/>
      <c r="D171" s="21"/>
    </row>
    <row r="172">
      <c r="A172" s="1"/>
      <c r="B172" s="288"/>
      <c r="C172" s="21"/>
      <c r="D172" s="21"/>
    </row>
    <row r="173">
      <c r="A173" s="1"/>
      <c r="B173" s="288"/>
      <c r="C173" s="21"/>
      <c r="D173" s="21"/>
    </row>
    <row r="174">
      <c r="A174" s="1"/>
      <c r="B174" s="288"/>
      <c r="C174" s="21"/>
      <c r="D174" s="21"/>
    </row>
    <row r="175">
      <c r="A175" s="1"/>
      <c r="B175" s="288"/>
      <c r="C175" s="21"/>
      <c r="D175" s="21"/>
    </row>
    <row r="176">
      <c r="A176" s="1"/>
      <c r="B176" s="288"/>
      <c r="C176" s="21"/>
      <c r="D176" s="21"/>
    </row>
    <row r="177">
      <c r="A177" s="1"/>
      <c r="B177" s="288"/>
      <c r="C177" s="21"/>
      <c r="D177" s="21"/>
    </row>
    <row r="178">
      <c r="A178" s="1"/>
      <c r="B178" s="288"/>
      <c r="C178" s="21"/>
      <c r="D178" s="21"/>
    </row>
    <row r="179">
      <c r="A179" s="1"/>
      <c r="B179" s="288"/>
      <c r="C179" s="21"/>
      <c r="D179" s="21"/>
    </row>
    <row r="180">
      <c r="A180" s="1"/>
      <c r="B180" s="288"/>
      <c r="C180" s="21"/>
      <c r="D180" s="21"/>
    </row>
    <row r="181">
      <c r="A181" s="1"/>
      <c r="B181" s="288"/>
      <c r="C181" s="21"/>
      <c r="D181" s="21"/>
    </row>
    <row r="182">
      <c r="A182" s="1"/>
      <c r="B182" s="288"/>
      <c r="C182" s="21"/>
      <c r="D182" s="21"/>
    </row>
    <row r="183">
      <c r="A183" s="1"/>
      <c r="B183" s="288"/>
      <c r="C183" s="21"/>
      <c r="D183" s="21"/>
    </row>
    <row r="184">
      <c r="A184" s="1"/>
      <c r="B184" s="288"/>
      <c r="C184" s="21"/>
      <c r="D184" s="21"/>
    </row>
    <row r="185">
      <c r="A185" s="1"/>
      <c r="B185" s="288"/>
      <c r="C185" s="21"/>
      <c r="D185" s="21"/>
    </row>
    <row r="186">
      <c r="A186" s="1"/>
      <c r="B186" s="288"/>
      <c r="C186" s="21"/>
      <c r="D186" s="21"/>
    </row>
    <row r="187">
      <c r="A187" s="1"/>
      <c r="B187" s="288"/>
      <c r="C187" s="21"/>
      <c r="D187" s="21"/>
    </row>
    <row r="188">
      <c r="A188" s="1"/>
      <c r="B188" s="288"/>
      <c r="C188" s="21"/>
      <c r="D188" s="21"/>
    </row>
    <row r="189">
      <c r="A189" s="1"/>
      <c r="B189" s="288"/>
      <c r="C189" s="21"/>
      <c r="D189" s="21"/>
    </row>
    <row r="190">
      <c r="A190" s="1"/>
      <c r="B190" s="288"/>
      <c r="C190" s="21"/>
      <c r="D190" s="21"/>
    </row>
    <row r="191">
      <c r="A191" s="1"/>
      <c r="B191" s="288"/>
      <c r="C191" s="21"/>
      <c r="D191" s="21"/>
    </row>
    <row r="192">
      <c r="A192" s="1"/>
      <c r="B192" s="288"/>
      <c r="C192" s="21"/>
      <c r="D192" s="21"/>
    </row>
    <row r="193">
      <c r="A193" s="1"/>
      <c r="B193" s="288"/>
      <c r="C193" s="21"/>
      <c r="D193" s="21"/>
    </row>
    <row r="194">
      <c r="A194" s="1"/>
      <c r="B194" s="288"/>
      <c r="C194" s="21"/>
      <c r="D194" s="21"/>
    </row>
    <row r="195">
      <c r="A195" s="1"/>
      <c r="B195" s="288"/>
      <c r="C195" s="21"/>
      <c r="D195" s="21"/>
    </row>
    <row r="196">
      <c r="A196" s="1"/>
      <c r="B196" s="288"/>
      <c r="C196" s="21"/>
      <c r="D196" s="21"/>
    </row>
    <row r="197">
      <c r="A197" s="1"/>
      <c r="B197" s="288"/>
      <c r="C197" s="21"/>
      <c r="D197" s="21"/>
    </row>
    <row r="198">
      <c r="A198" s="1"/>
      <c r="B198" s="288"/>
      <c r="C198" s="21"/>
      <c r="D198" s="21"/>
    </row>
    <row r="199">
      <c r="A199" s="1"/>
      <c r="B199" s="288"/>
      <c r="C199" s="21"/>
      <c r="D199" s="21"/>
    </row>
    <row r="200">
      <c r="A200" s="1"/>
      <c r="B200" s="288"/>
      <c r="C200" s="21"/>
      <c r="D200" s="21"/>
    </row>
    <row r="201">
      <c r="A201" s="1"/>
      <c r="B201" s="288"/>
      <c r="C201" s="21"/>
      <c r="D201" s="21"/>
    </row>
    <row r="202">
      <c r="A202" s="1"/>
      <c r="B202" s="288"/>
      <c r="C202" s="21"/>
      <c r="D202" s="21"/>
    </row>
    <row r="203">
      <c r="A203" s="1"/>
      <c r="B203" s="288"/>
      <c r="C203" s="21"/>
      <c r="D203" s="21"/>
    </row>
    <row r="204">
      <c r="A204" s="1"/>
      <c r="B204" s="288"/>
      <c r="C204" s="21"/>
      <c r="D204" s="21"/>
    </row>
    <row r="205">
      <c r="A205" s="1"/>
      <c r="B205" s="288"/>
      <c r="C205" s="21"/>
      <c r="D205" s="21"/>
    </row>
    <row r="206">
      <c r="A206" s="1"/>
      <c r="B206" s="288"/>
      <c r="C206" s="21"/>
      <c r="D206" s="21"/>
    </row>
    <row r="207">
      <c r="A207" s="1"/>
      <c r="B207" s="288"/>
      <c r="C207" s="21"/>
      <c r="D207" s="21"/>
    </row>
    <row r="208">
      <c r="A208" s="1"/>
      <c r="B208" s="288"/>
      <c r="C208" s="21"/>
      <c r="D208" s="21"/>
    </row>
    <row r="209">
      <c r="A209" s="1"/>
      <c r="B209" s="288"/>
      <c r="C209" s="21"/>
      <c r="D209" s="21"/>
    </row>
    <row r="210">
      <c r="A210" s="1"/>
      <c r="B210" s="288"/>
      <c r="C210" s="21"/>
      <c r="D210" s="21"/>
    </row>
    <row r="211">
      <c r="A211" s="1"/>
      <c r="B211" s="288"/>
      <c r="C211" s="21"/>
      <c r="D211" s="21"/>
    </row>
    <row r="212">
      <c r="A212" s="1"/>
      <c r="B212" s="288"/>
      <c r="C212" s="21"/>
      <c r="D212" s="21"/>
    </row>
    <row r="213">
      <c r="A213" s="1"/>
      <c r="B213" s="288"/>
      <c r="C213" s="21"/>
      <c r="D213" s="21"/>
    </row>
    <row r="214">
      <c r="A214" s="1"/>
      <c r="B214" s="288"/>
      <c r="C214" s="21"/>
      <c r="D214" s="21"/>
    </row>
    <row r="215">
      <c r="A215" s="1"/>
      <c r="B215" s="288"/>
      <c r="C215" s="21"/>
      <c r="D215" s="21"/>
    </row>
    <row r="216">
      <c r="A216" s="1"/>
      <c r="B216" s="288"/>
      <c r="C216" s="21"/>
      <c r="D216" s="21"/>
    </row>
    <row r="217">
      <c r="A217" s="1"/>
      <c r="B217" s="288"/>
      <c r="C217" s="21"/>
      <c r="D217" s="21"/>
    </row>
    <row r="218">
      <c r="A218" s="1"/>
      <c r="B218" s="288"/>
      <c r="C218" s="21"/>
      <c r="D218" s="21"/>
    </row>
    <row r="219">
      <c r="A219" s="1"/>
      <c r="B219" s="288"/>
      <c r="C219" s="21"/>
      <c r="D219" s="21"/>
    </row>
    <row r="220">
      <c r="A220" s="1"/>
      <c r="B220" s="288"/>
      <c r="C220" s="21"/>
      <c r="D220" s="21"/>
    </row>
    <row r="221">
      <c r="A221" s="1"/>
      <c r="B221" s="288"/>
      <c r="C221" s="21"/>
      <c r="D221" s="21"/>
    </row>
    <row r="222">
      <c r="A222" s="1"/>
      <c r="B222" s="288"/>
      <c r="C222" s="21"/>
      <c r="D222" s="21"/>
    </row>
    <row r="223">
      <c r="A223" s="1"/>
      <c r="B223" s="288"/>
      <c r="C223" s="21"/>
      <c r="D223" s="21"/>
    </row>
    <row r="224">
      <c r="A224" s="1"/>
      <c r="B224" s="288"/>
      <c r="C224" s="21"/>
      <c r="D224" s="21"/>
    </row>
    <row r="225">
      <c r="A225" s="1"/>
      <c r="B225" s="288"/>
      <c r="C225" s="21"/>
      <c r="D225" s="21"/>
    </row>
    <row r="226">
      <c r="A226" s="1"/>
      <c r="B226" s="288"/>
      <c r="C226" s="21"/>
      <c r="D226" s="21"/>
    </row>
    <row r="227">
      <c r="A227" s="1"/>
      <c r="B227" s="288"/>
      <c r="C227" s="21"/>
      <c r="D227" s="21"/>
    </row>
    <row r="228">
      <c r="A228" s="1"/>
      <c r="B228" s="288"/>
      <c r="C228" s="21"/>
      <c r="D228" s="21"/>
    </row>
    <row r="229">
      <c r="A229" s="1"/>
      <c r="B229" s="288"/>
      <c r="C229" s="21"/>
      <c r="D229" s="21"/>
    </row>
    <row r="230">
      <c r="A230" s="1"/>
      <c r="B230" s="288"/>
      <c r="C230" s="21"/>
      <c r="D230" s="21"/>
    </row>
    <row r="231">
      <c r="A231" s="1"/>
      <c r="B231" s="288"/>
      <c r="C231" s="21"/>
      <c r="D231" s="21"/>
    </row>
    <row r="232">
      <c r="A232" s="1"/>
      <c r="B232" s="288"/>
      <c r="C232" s="21"/>
      <c r="D232" s="21"/>
    </row>
    <row r="233">
      <c r="A233" s="1"/>
      <c r="B233" s="288"/>
      <c r="C233" s="21"/>
      <c r="D233" s="21"/>
    </row>
    <row r="234">
      <c r="A234" s="1"/>
      <c r="B234" s="288"/>
      <c r="C234" s="21"/>
      <c r="D234" s="21"/>
    </row>
    <row r="235">
      <c r="A235" s="1"/>
      <c r="B235" s="288"/>
      <c r="C235" s="21"/>
      <c r="D235" s="21"/>
    </row>
    <row r="236">
      <c r="A236" s="1"/>
      <c r="B236" s="288"/>
      <c r="C236" s="21"/>
      <c r="D236" s="21"/>
    </row>
    <row r="237">
      <c r="A237" s="1"/>
      <c r="B237" s="288"/>
      <c r="C237" s="21"/>
      <c r="D237" s="21"/>
    </row>
    <row r="238">
      <c r="A238" s="1"/>
      <c r="B238" s="288"/>
      <c r="C238" s="21"/>
      <c r="D238" s="21"/>
    </row>
    <row r="239">
      <c r="A239" s="1"/>
      <c r="B239" s="288"/>
      <c r="C239" s="21"/>
      <c r="D239" s="21"/>
    </row>
    <row r="240">
      <c r="A240" s="1"/>
      <c r="B240" s="288"/>
      <c r="C240" s="21"/>
      <c r="D240" s="21"/>
    </row>
    <row r="241">
      <c r="A241" s="1"/>
      <c r="B241" s="288"/>
      <c r="C241" s="21"/>
      <c r="D241" s="21"/>
    </row>
    <row r="242">
      <c r="A242" s="1"/>
      <c r="B242" s="288"/>
      <c r="C242" s="21"/>
      <c r="D242" s="21"/>
    </row>
    <row r="243">
      <c r="A243" s="1"/>
      <c r="B243" s="288"/>
      <c r="C243" s="21"/>
      <c r="D243" s="21"/>
    </row>
    <row r="244">
      <c r="A244" s="1"/>
      <c r="B244" s="288"/>
      <c r="C244" s="21"/>
      <c r="D244" s="21"/>
    </row>
    <row r="245">
      <c r="A245" s="1"/>
      <c r="B245" s="288"/>
      <c r="C245" s="21"/>
      <c r="D245" s="21"/>
    </row>
    <row r="246">
      <c r="A246" s="1"/>
      <c r="B246" s="288"/>
      <c r="C246" s="21"/>
      <c r="D246" s="21"/>
    </row>
    <row r="247">
      <c r="A247" s="1"/>
      <c r="B247" s="288"/>
      <c r="C247" s="21"/>
      <c r="D247" s="21"/>
    </row>
    <row r="248">
      <c r="A248" s="1"/>
      <c r="B248" s="288"/>
      <c r="C248" s="21"/>
      <c r="D248" s="21"/>
    </row>
    <row r="249">
      <c r="A249" s="1"/>
      <c r="B249" s="288"/>
      <c r="C249" s="21"/>
      <c r="D249" s="21"/>
    </row>
    <row r="250">
      <c r="A250" s="1"/>
      <c r="B250" s="288"/>
      <c r="C250" s="21"/>
      <c r="D250" s="21"/>
    </row>
    <row r="251">
      <c r="A251" s="1"/>
      <c r="B251" s="288"/>
      <c r="C251" s="21"/>
      <c r="D251" s="21"/>
    </row>
    <row r="252">
      <c r="A252" s="1"/>
      <c r="B252" s="288"/>
      <c r="C252" s="21"/>
      <c r="D252" s="21"/>
    </row>
    <row r="253">
      <c r="A253" s="1"/>
      <c r="B253" s="288"/>
      <c r="C253" s="21"/>
      <c r="D253" s="21"/>
    </row>
    <row r="254">
      <c r="A254" s="1"/>
      <c r="B254" s="288"/>
      <c r="C254" s="21"/>
      <c r="D254" s="21"/>
    </row>
    <row r="255">
      <c r="A255" s="1"/>
      <c r="B255" s="288"/>
      <c r="C255" s="21"/>
      <c r="D255" s="21"/>
    </row>
    <row r="256">
      <c r="A256" s="1"/>
      <c r="B256" s="288"/>
      <c r="C256" s="21"/>
      <c r="D256" s="21"/>
    </row>
    <row r="257">
      <c r="A257" s="1"/>
      <c r="B257" s="288"/>
      <c r="C257" s="21"/>
      <c r="D257" s="21"/>
    </row>
    <row r="258">
      <c r="A258" s="1"/>
      <c r="B258" s="288"/>
      <c r="C258" s="21"/>
      <c r="D258" s="21"/>
    </row>
    <row r="259">
      <c r="A259" s="1"/>
      <c r="B259" s="288"/>
      <c r="C259" s="21"/>
      <c r="D259" s="21"/>
    </row>
    <row r="260">
      <c r="A260" s="1"/>
      <c r="B260" s="288"/>
      <c r="C260" s="21"/>
      <c r="D260" s="21"/>
    </row>
    <row r="261">
      <c r="A261" s="1"/>
      <c r="B261" s="288"/>
      <c r="C261" s="21"/>
      <c r="D261" s="21"/>
    </row>
    <row r="262">
      <c r="A262" s="1"/>
      <c r="B262" s="288"/>
      <c r="C262" s="21"/>
      <c r="D262" s="21"/>
    </row>
    <row r="263">
      <c r="A263" s="1"/>
      <c r="B263" s="288"/>
      <c r="C263" s="21"/>
      <c r="D263" s="21"/>
    </row>
    <row r="264">
      <c r="A264" s="1"/>
      <c r="B264" s="288"/>
      <c r="C264" s="21"/>
      <c r="D264" s="21"/>
    </row>
    <row r="265">
      <c r="A265" s="1"/>
      <c r="B265" s="288"/>
      <c r="C265" s="21"/>
      <c r="D265" s="21"/>
    </row>
    <row r="266">
      <c r="A266" s="1"/>
      <c r="B266" s="288"/>
      <c r="C266" s="21"/>
      <c r="D266" s="21"/>
    </row>
    <row r="267">
      <c r="A267" s="1"/>
      <c r="B267" s="288"/>
      <c r="C267" s="21"/>
      <c r="D267" s="21"/>
    </row>
    <row r="268">
      <c r="A268" s="1"/>
      <c r="B268" s="288"/>
      <c r="C268" s="21"/>
      <c r="D268" s="21"/>
    </row>
    <row r="269">
      <c r="A269" s="1"/>
      <c r="B269" s="288"/>
      <c r="C269" s="21"/>
      <c r="D269" s="21"/>
    </row>
    <row r="270">
      <c r="A270" s="1"/>
      <c r="B270" s="288"/>
      <c r="C270" s="21"/>
      <c r="D270" s="21"/>
    </row>
    <row r="271">
      <c r="A271" s="1"/>
      <c r="B271" s="288"/>
      <c r="C271" s="21"/>
      <c r="D271" s="21"/>
    </row>
    <row r="272">
      <c r="A272" s="1"/>
      <c r="B272" s="288"/>
      <c r="C272" s="21"/>
      <c r="D272" s="21"/>
    </row>
    <row r="273">
      <c r="A273" s="1"/>
      <c r="B273" s="288"/>
      <c r="C273" s="21"/>
      <c r="D273" s="21"/>
    </row>
    <row r="274">
      <c r="A274" s="1"/>
      <c r="B274" s="288"/>
      <c r="C274" s="21"/>
      <c r="D274" s="21"/>
    </row>
    <row r="275">
      <c r="A275" s="1"/>
      <c r="B275" s="288"/>
      <c r="C275" s="21"/>
      <c r="D275" s="21"/>
    </row>
    <row r="276">
      <c r="A276" s="1"/>
      <c r="B276" s="288"/>
      <c r="C276" s="21"/>
      <c r="D276" s="21"/>
    </row>
    <row r="277">
      <c r="A277" s="1"/>
      <c r="B277" s="288"/>
      <c r="C277" s="21"/>
      <c r="D277" s="21"/>
    </row>
    <row r="278">
      <c r="A278" s="1"/>
      <c r="B278" s="288"/>
      <c r="C278" s="21"/>
      <c r="D278" s="21"/>
    </row>
    <row r="279">
      <c r="A279" s="1"/>
      <c r="B279" s="288"/>
      <c r="C279" s="21"/>
      <c r="D279" s="21"/>
    </row>
    <row r="280">
      <c r="A280" s="1"/>
      <c r="B280" s="288"/>
      <c r="C280" s="21"/>
      <c r="D280" s="21"/>
    </row>
    <row r="281">
      <c r="A281" s="1"/>
      <c r="B281" s="288"/>
      <c r="C281" s="21"/>
      <c r="D281" s="21"/>
    </row>
    <row r="282">
      <c r="A282" s="1"/>
      <c r="B282" s="288"/>
      <c r="C282" s="21"/>
      <c r="D282" s="21"/>
    </row>
    <row r="283">
      <c r="A283" s="1"/>
      <c r="B283" s="288"/>
      <c r="C283" s="21"/>
      <c r="D283" s="21"/>
    </row>
    <row r="284">
      <c r="A284" s="1"/>
      <c r="B284" s="288"/>
      <c r="C284" s="21"/>
      <c r="D284" s="21"/>
    </row>
    <row r="285">
      <c r="A285" s="1"/>
      <c r="B285" s="288"/>
      <c r="C285" s="21"/>
      <c r="D285" s="21"/>
    </row>
    <row r="286">
      <c r="A286" s="1"/>
      <c r="B286" s="288"/>
      <c r="C286" s="21"/>
      <c r="D286" s="21"/>
    </row>
    <row r="287">
      <c r="A287" s="1"/>
      <c r="B287" s="288"/>
      <c r="C287" s="21"/>
      <c r="D287" s="21"/>
    </row>
    <row r="288">
      <c r="A288" s="1"/>
      <c r="B288" s="288"/>
      <c r="C288" s="21"/>
      <c r="D288" s="21"/>
    </row>
    <row r="289">
      <c r="A289" s="1"/>
      <c r="B289" s="288"/>
      <c r="C289" s="21"/>
      <c r="D289" s="21"/>
    </row>
    <row r="290">
      <c r="A290" s="1"/>
      <c r="B290" s="288"/>
      <c r="C290" s="21"/>
      <c r="D290" s="21"/>
    </row>
    <row r="291">
      <c r="A291" s="1"/>
      <c r="B291" s="288"/>
      <c r="C291" s="21"/>
      <c r="D291" s="21"/>
    </row>
    <row r="292">
      <c r="A292" s="1"/>
      <c r="B292" s="288"/>
      <c r="C292" s="21"/>
      <c r="D292" s="21"/>
    </row>
    <row r="293">
      <c r="A293" s="1"/>
      <c r="B293" s="288"/>
      <c r="C293" s="21"/>
      <c r="D293" s="21"/>
    </row>
    <row r="294">
      <c r="A294" s="1"/>
      <c r="B294" s="288"/>
      <c r="C294" s="21"/>
      <c r="D294" s="21"/>
    </row>
    <row r="295">
      <c r="A295" s="1"/>
      <c r="B295" s="288"/>
      <c r="C295" s="21"/>
      <c r="D295" s="21"/>
    </row>
    <row r="296">
      <c r="A296" s="1"/>
      <c r="B296" s="288"/>
      <c r="C296" s="21"/>
      <c r="D296" s="21"/>
    </row>
    <row r="297">
      <c r="A297" s="1"/>
      <c r="B297" s="288"/>
      <c r="C297" s="21"/>
      <c r="D297" s="21"/>
    </row>
    <row r="298">
      <c r="A298" s="1"/>
      <c r="B298" s="288"/>
      <c r="C298" s="21"/>
      <c r="D298" s="21"/>
    </row>
    <row r="299">
      <c r="A299" s="1"/>
      <c r="B299" s="288"/>
      <c r="C299" s="21"/>
      <c r="D299" s="21"/>
    </row>
    <row r="300">
      <c r="A300" s="1"/>
      <c r="B300" s="288"/>
      <c r="C300" s="21"/>
      <c r="D300" s="21"/>
    </row>
    <row r="301">
      <c r="A301" s="1"/>
      <c r="B301" s="288"/>
      <c r="C301" s="21"/>
      <c r="D301" s="21"/>
    </row>
    <row r="302">
      <c r="A302" s="1"/>
      <c r="B302" s="288"/>
      <c r="C302" s="21"/>
      <c r="D302" s="21"/>
    </row>
    <row r="303">
      <c r="A303" s="1"/>
      <c r="B303" s="288"/>
      <c r="C303" s="21"/>
      <c r="D303" s="21"/>
    </row>
    <row r="304">
      <c r="A304" s="1"/>
      <c r="B304" s="288"/>
      <c r="C304" s="21"/>
      <c r="D304" s="21"/>
    </row>
    <row r="305">
      <c r="A305" s="1"/>
      <c r="B305" s="288"/>
      <c r="C305" s="21"/>
      <c r="D305" s="21"/>
    </row>
    <row r="306">
      <c r="A306" s="1"/>
      <c r="B306" s="288"/>
      <c r="C306" s="21"/>
      <c r="D306" s="21"/>
    </row>
    <row r="307">
      <c r="A307" s="1"/>
      <c r="B307" s="288"/>
      <c r="C307" s="21"/>
      <c r="D307" s="21"/>
    </row>
    <row r="308">
      <c r="A308" s="1"/>
      <c r="B308" s="288"/>
      <c r="C308" s="21"/>
      <c r="D308" s="21"/>
    </row>
    <row r="309">
      <c r="A309" s="1"/>
      <c r="B309" s="288"/>
      <c r="C309" s="21"/>
      <c r="D309" s="21"/>
    </row>
    <row r="310">
      <c r="A310" s="1"/>
      <c r="B310" s="288"/>
      <c r="C310" s="21"/>
      <c r="D310" s="21"/>
    </row>
    <row r="311">
      <c r="A311" s="1"/>
      <c r="B311" s="288"/>
      <c r="C311" s="21"/>
      <c r="D311" s="21"/>
    </row>
    <row r="312">
      <c r="A312" s="1"/>
      <c r="B312" s="288"/>
      <c r="C312" s="21"/>
      <c r="D312" s="21"/>
    </row>
    <row r="313">
      <c r="A313" s="1"/>
      <c r="B313" s="288"/>
      <c r="C313" s="21"/>
      <c r="D313" s="21"/>
    </row>
    <row r="314">
      <c r="A314" s="1"/>
      <c r="B314" s="288"/>
      <c r="C314" s="21"/>
      <c r="D314" s="21"/>
    </row>
    <row r="315">
      <c r="A315" s="1"/>
      <c r="B315" s="288"/>
      <c r="C315" s="21"/>
      <c r="D315" s="21"/>
    </row>
    <row r="316">
      <c r="A316" s="1"/>
      <c r="B316" s="288"/>
      <c r="C316" s="21"/>
      <c r="D316" s="21"/>
    </row>
    <row r="317">
      <c r="A317" s="1"/>
      <c r="B317" s="288"/>
      <c r="C317" s="21"/>
      <c r="D317" s="21"/>
    </row>
    <row r="318">
      <c r="A318" s="1"/>
      <c r="B318" s="288"/>
      <c r="C318" s="21"/>
      <c r="D318" s="21"/>
    </row>
    <row r="319">
      <c r="A319" s="1"/>
      <c r="B319" s="288"/>
      <c r="C319" s="21"/>
      <c r="D319" s="21"/>
    </row>
    <row r="320">
      <c r="A320" s="1"/>
      <c r="B320" s="288"/>
      <c r="C320" s="21"/>
      <c r="D320" s="21"/>
    </row>
    <row r="321">
      <c r="A321" s="1"/>
      <c r="B321" s="288"/>
      <c r="C321" s="21"/>
      <c r="D321" s="21"/>
    </row>
    <row r="322">
      <c r="A322" s="1"/>
      <c r="B322" s="288"/>
      <c r="C322" s="21"/>
      <c r="D322" s="21"/>
    </row>
    <row r="323">
      <c r="A323" s="1"/>
      <c r="B323" s="288"/>
      <c r="C323" s="21"/>
      <c r="D323" s="21"/>
    </row>
    <row r="324">
      <c r="A324" s="1"/>
      <c r="B324" s="288"/>
      <c r="C324" s="21"/>
      <c r="D324" s="21"/>
    </row>
    <row r="325">
      <c r="A325" s="1"/>
      <c r="B325" s="288"/>
      <c r="C325" s="21"/>
      <c r="D325" s="21"/>
    </row>
    <row r="326">
      <c r="A326" s="1"/>
      <c r="B326" s="288"/>
      <c r="C326" s="21"/>
      <c r="D326" s="21"/>
    </row>
    <row r="327">
      <c r="A327" s="1"/>
      <c r="B327" s="288"/>
      <c r="C327" s="21"/>
      <c r="D327" s="21"/>
    </row>
    <row r="328">
      <c r="A328" s="1"/>
      <c r="B328" s="288"/>
      <c r="C328" s="21"/>
      <c r="D328" s="21"/>
    </row>
    <row r="329">
      <c r="A329" s="1"/>
      <c r="B329" s="288"/>
      <c r="C329" s="21"/>
      <c r="D329" s="21"/>
    </row>
    <row r="330">
      <c r="A330" s="1"/>
      <c r="B330" s="288"/>
      <c r="C330" s="21"/>
      <c r="D330" s="21"/>
    </row>
    <row r="331">
      <c r="A331" s="1"/>
      <c r="B331" s="288"/>
      <c r="C331" s="21"/>
      <c r="D331" s="21"/>
    </row>
    <row r="332">
      <c r="A332" s="1"/>
      <c r="B332" s="288"/>
      <c r="C332" s="21"/>
      <c r="D332" s="21"/>
    </row>
    <row r="333">
      <c r="A333" s="1"/>
      <c r="B333" s="288"/>
      <c r="C333" s="21"/>
      <c r="D333" s="21"/>
    </row>
    <row r="334">
      <c r="A334" s="1"/>
      <c r="B334" s="288"/>
      <c r="C334" s="21"/>
      <c r="D334" s="21"/>
    </row>
    <row r="335">
      <c r="A335" s="1"/>
      <c r="B335" s="288"/>
      <c r="C335" s="21"/>
      <c r="D335" s="21"/>
    </row>
    <row r="336">
      <c r="A336" s="1"/>
      <c r="B336" s="288"/>
      <c r="C336" s="21"/>
      <c r="D336" s="21"/>
    </row>
    <row r="337">
      <c r="A337" s="1"/>
      <c r="B337" s="288"/>
      <c r="C337" s="21"/>
      <c r="D337" s="21"/>
    </row>
    <row r="338">
      <c r="A338" s="1"/>
      <c r="B338" s="288"/>
      <c r="C338" s="21"/>
      <c r="D338" s="21"/>
    </row>
    <row r="339">
      <c r="A339" s="1"/>
      <c r="B339" s="288"/>
      <c r="C339" s="21"/>
      <c r="D339" s="21"/>
    </row>
    <row r="340">
      <c r="A340" s="1"/>
      <c r="B340" s="288"/>
      <c r="C340" s="21"/>
      <c r="D340" s="21"/>
    </row>
    <row r="341">
      <c r="A341" s="1"/>
      <c r="B341" s="288"/>
      <c r="C341" s="21"/>
      <c r="D341" s="21"/>
    </row>
    <row r="342">
      <c r="A342" s="1"/>
      <c r="B342" s="288"/>
      <c r="C342" s="21"/>
      <c r="D342" s="21"/>
    </row>
    <row r="343">
      <c r="A343" s="1"/>
      <c r="B343" s="288"/>
      <c r="C343" s="21"/>
      <c r="D343" s="21"/>
    </row>
    <row r="344">
      <c r="A344" s="1"/>
      <c r="B344" s="288"/>
      <c r="C344" s="21"/>
      <c r="D344" s="21"/>
    </row>
    <row r="345">
      <c r="A345" s="1"/>
      <c r="B345" s="288"/>
      <c r="C345" s="21"/>
      <c r="D345" s="21"/>
    </row>
    <row r="346">
      <c r="A346" s="1"/>
      <c r="B346" s="288"/>
      <c r="C346" s="21"/>
      <c r="D346" s="21"/>
    </row>
    <row r="347">
      <c r="A347" s="1"/>
      <c r="B347" s="288"/>
      <c r="C347" s="21"/>
      <c r="D347" s="21"/>
    </row>
    <row r="348">
      <c r="A348" s="1"/>
      <c r="B348" s="288"/>
      <c r="C348" s="21"/>
      <c r="D348" s="21"/>
    </row>
    <row r="349">
      <c r="A349" s="1"/>
      <c r="B349" s="288"/>
      <c r="C349" s="21"/>
      <c r="D349" s="21"/>
    </row>
    <row r="350">
      <c r="A350" s="1"/>
      <c r="B350" s="288"/>
      <c r="C350" s="21"/>
      <c r="D350" s="21"/>
    </row>
    <row r="351">
      <c r="A351" s="1"/>
      <c r="B351" s="288"/>
      <c r="C351" s="21"/>
      <c r="D351" s="21"/>
    </row>
    <row r="352">
      <c r="A352" s="1"/>
      <c r="B352" s="288"/>
      <c r="C352" s="21"/>
      <c r="D352" s="21"/>
    </row>
    <row r="353">
      <c r="A353" s="1"/>
      <c r="B353" s="288"/>
      <c r="C353" s="21"/>
      <c r="D353" s="21"/>
    </row>
    <row r="354">
      <c r="A354" s="1"/>
      <c r="B354" s="288"/>
      <c r="C354" s="21"/>
      <c r="D354" s="21"/>
    </row>
    <row r="355">
      <c r="A355" s="1"/>
      <c r="B355" s="288"/>
      <c r="C355" s="21"/>
      <c r="D355" s="21"/>
    </row>
    <row r="356">
      <c r="A356" s="1"/>
      <c r="B356" s="288"/>
      <c r="C356" s="21"/>
      <c r="D356" s="21"/>
    </row>
    <row r="357">
      <c r="A357" s="1"/>
      <c r="B357" s="288"/>
      <c r="C357" s="21"/>
      <c r="D357" s="21"/>
    </row>
    <row r="358">
      <c r="A358" s="1"/>
      <c r="B358" s="288"/>
      <c r="C358" s="21"/>
      <c r="D358" s="21"/>
    </row>
    <row r="359">
      <c r="A359" s="1"/>
      <c r="B359" s="288"/>
      <c r="C359" s="21"/>
      <c r="D359" s="21"/>
    </row>
    <row r="360">
      <c r="A360" s="1"/>
      <c r="B360" s="288"/>
      <c r="C360" s="21"/>
      <c r="D360" s="21"/>
    </row>
    <row r="361">
      <c r="A361" s="1"/>
      <c r="B361" s="288"/>
      <c r="C361" s="21"/>
      <c r="D361" s="21"/>
    </row>
    <row r="362">
      <c r="A362" s="1"/>
      <c r="B362" s="288"/>
      <c r="C362" s="21"/>
      <c r="D362" s="21"/>
    </row>
    <row r="363">
      <c r="A363" s="1"/>
      <c r="B363" s="288"/>
      <c r="C363" s="21"/>
      <c r="D363" s="21"/>
    </row>
    <row r="364">
      <c r="A364" s="1"/>
      <c r="B364" s="288"/>
      <c r="C364" s="21"/>
      <c r="D364" s="21"/>
    </row>
    <row r="365">
      <c r="A365" s="1"/>
      <c r="B365" s="288"/>
      <c r="C365" s="21"/>
      <c r="D365" s="21"/>
    </row>
    <row r="366">
      <c r="A366" s="1"/>
      <c r="B366" s="288"/>
      <c r="C366" s="21"/>
      <c r="D366" s="21"/>
    </row>
    <row r="367">
      <c r="A367" s="1"/>
      <c r="B367" s="288"/>
      <c r="C367" s="21"/>
      <c r="D367" s="21"/>
    </row>
    <row r="368">
      <c r="A368" s="1"/>
      <c r="B368" s="288"/>
      <c r="C368" s="21"/>
      <c r="D368" s="21"/>
    </row>
    <row r="369">
      <c r="A369" s="1"/>
      <c r="B369" s="288"/>
      <c r="C369" s="21"/>
      <c r="D369" s="21"/>
    </row>
    <row r="370">
      <c r="A370" s="1"/>
      <c r="B370" s="288"/>
      <c r="C370" s="21"/>
      <c r="D370" s="21"/>
    </row>
    <row r="371">
      <c r="A371" s="1"/>
      <c r="B371" s="288"/>
      <c r="C371" s="21"/>
      <c r="D371" s="21"/>
    </row>
    <row r="372">
      <c r="A372" s="1"/>
      <c r="B372" s="288"/>
      <c r="C372" s="21"/>
      <c r="D372" s="21"/>
    </row>
    <row r="373">
      <c r="A373" s="1"/>
      <c r="B373" s="288"/>
      <c r="C373" s="21"/>
      <c r="D373" s="21"/>
    </row>
    <row r="374">
      <c r="A374" s="1"/>
      <c r="B374" s="288"/>
      <c r="C374" s="21"/>
      <c r="D374" s="21"/>
    </row>
    <row r="375">
      <c r="A375" s="1"/>
      <c r="B375" s="288"/>
      <c r="C375" s="21"/>
      <c r="D375" s="21"/>
    </row>
    <row r="376">
      <c r="A376" s="1"/>
      <c r="B376" s="288"/>
      <c r="C376" s="21"/>
      <c r="D376" s="21"/>
    </row>
    <row r="377">
      <c r="A377" s="1"/>
      <c r="B377" s="288"/>
      <c r="C377" s="21"/>
      <c r="D377" s="21"/>
    </row>
    <row r="378">
      <c r="A378" s="1"/>
      <c r="B378" s="288"/>
      <c r="C378" s="21"/>
      <c r="D378" s="21"/>
    </row>
    <row r="379">
      <c r="A379" s="1"/>
      <c r="B379" s="288"/>
      <c r="C379" s="21"/>
      <c r="D379" s="21"/>
    </row>
    <row r="380">
      <c r="A380" s="1"/>
      <c r="B380" s="288"/>
      <c r="C380" s="21"/>
      <c r="D380" s="21"/>
    </row>
    <row r="381">
      <c r="A381" s="1"/>
      <c r="B381" s="288"/>
      <c r="C381" s="21"/>
      <c r="D381" s="21"/>
    </row>
    <row r="382">
      <c r="A382" s="1"/>
      <c r="B382" s="288"/>
      <c r="C382" s="21"/>
      <c r="D382" s="21"/>
    </row>
    <row r="383">
      <c r="A383" s="1"/>
      <c r="B383" s="288"/>
      <c r="C383" s="21"/>
      <c r="D383" s="21"/>
    </row>
    <row r="384">
      <c r="A384" s="1"/>
      <c r="B384" s="288"/>
      <c r="C384" s="21"/>
      <c r="D384" s="21"/>
    </row>
    <row r="385">
      <c r="A385" s="1"/>
      <c r="B385" s="288"/>
      <c r="C385" s="21"/>
      <c r="D385" s="21"/>
    </row>
    <row r="386">
      <c r="A386" s="1"/>
      <c r="B386" s="288"/>
      <c r="C386" s="21"/>
      <c r="D386" s="21"/>
    </row>
    <row r="387">
      <c r="A387" s="1"/>
      <c r="B387" s="288"/>
      <c r="C387" s="21"/>
      <c r="D387" s="21"/>
    </row>
    <row r="388">
      <c r="A388" s="1"/>
      <c r="B388" s="288"/>
      <c r="C388" s="21"/>
      <c r="D388" s="21"/>
    </row>
    <row r="389">
      <c r="A389" s="1"/>
      <c r="B389" s="288"/>
      <c r="C389" s="21"/>
      <c r="D389" s="21"/>
    </row>
    <row r="390">
      <c r="A390" s="1"/>
      <c r="B390" s="288"/>
      <c r="C390" s="21"/>
      <c r="D390" s="21"/>
    </row>
    <row r="391">
      <c r="A391" s="1"/>
      <c r="B391" s="288"/>
      <c r="C391" s="21"/>
      <c r="D391" s="21"/>
    </row>
    <row r="392">
      <c r="A392" s="1"/>
      <c r="B392" s="288"/>
      <c r="C392" s="21"/>
      <c r="D392" s="21"/>
    </row>
    <row r="393">
      <c r="A393" s="1"/>
      <c r="B393" s="288"/>
      <c r="C393" s="21"/>
      <c r="D393" s="21"/>
    </row>
    <row r="394">
      <c r="A394" s="1"/>
      <c r="B394" s="288"/>
      <c r="C394" s="21"/>
      <c r="D394" s="21"/>
    </row>
    <row r="395">
      <c r="A395" s="1"/>
      <c r="B395" s="288"/>
      <c r="C395" s="21"/>
      <c r="D395" s="21"/>
    </row>
    <row r="396">
      <c r="A396" s="1"/>
      <c r="B396" s="288"/>
      <c r="C396" s="21"/>
      <c r="D396" s="21"/>
    </row>
    <row r="397">
      <c r="A397" s="1"/>
      <c r="B397" s="288"/>
      <c r="C397" s="21"/>
      <c r="D397" s="21"/>
    </row>
    <row r="398">
      <c r="A398" s="1"/>
      <c r="B398" s="288"/>
      <c r="C398" s="21"/>
      <c r="D398" s="21"/>
    </row>
    <row r="399">
      <c r="A399" s="1"/>
      <c r="B399" s="288"/>
      <c r="C399" s="21"/>
      <c r="D399" s="21"/>
    </row>
    <row r="400">
      <c r="A400" s="1"/>
      <c r="B400" s="288"/>
      <c r="C400" s="21"/>
      <c r="D400" s="21"/>
    </row>
    <row r="401">
      <c r="A401" s="1"/>
      <c r="B401" s="288"/>
      <c r="C401" s="21"/>
      <c r="D401" s="21"/>
    </row>
    <row r="402">
      <c r="A402" s="1"/>
      <c r="B402" s="288"/>
      <c r="C402" s="21"/>
      <c r="D402" s="21"/>
    </row>
    <row r="403">
      <c r="A403" s="1"/>
      <c r="B403" s="288"/>
      <c r="C403" s="21"/>
      <c r="D403" s="21"/>
    </row>
    <row r="404">
      <c r="A404" s="1"/>
      <c r="B404" s="288"/>
      <c r="C404" s="21"/>
      <c r="D404" s="21"/>
    </row>
    <row r="405">
      <c r="A405" s="1"/>
      <c r="B405" s="288"/>
      <c r="C405" s="21"/>
      <c r="D405" s="21"/>
    </row>
    <row r="406">
      <c r="A406" s="1"/>
      <c r="B406" s="288"/>
      <c r="C406" s="21"/>
      <c r="D406" s="21"/>
    </row>
    <row r="407">
      <c r="A407" s="1"/>
      <c r="B407" s="288"/>
      <c r="C407" s="21"/>
      <c r="D407" s="21"/>
    </row>
    <row r="408">
      <c r="A408" s="1"/>
      <c r="B408" s="288"/>
      <c r="C408" s="21"/>
      <c r="D408" s="21"/>
    </row>
    <row r="409">
      <c r="A409" s="1"/>
      <c r="B409" s="288"/>
      <c r="C409" s="21"/>
      <c r="D409" s="21"/>
    </row>
    <row r="410">
      <c r="A410" s="1"/>
      <c r="B410" s="288"/>
      <c r="C410" s="21"/>
      <c r="D410" s="21"/>
    </row>
    <row r="411">
      <c r="A411" s="1"/>
      <c r="B411" s="288"/>
      <c r="C411" s="21"/>
      <c r="D411" s="21"/>
    </row>
    <row r="412">
      <c r="A412" s="1"/>
      <c r="B412" s="288"/>
      <c r="C412" s="21"/>
      <c r="D412" s="21"/>
    </row>
    <row r="413">
      <c r="A413" s="1"/>
      <c r="B413" s="288"/>
      <c r="C413" s="21"/>
      <c r="D413" s="21"/>
    </row>
    <row r="414">
      <c r="A414" s="1"/>
      <c r="B414" s="288"/>
      <c r="C414" s="21"/>
      <c r="D414" s="21"/>
    </row>
    <row r="415">
      <c r="A415" s="1"/>
      <c r="B415" s="288"/>
      <c r="C415" s="21"/>
      <c r="D415" s="21"/>
    </row>
    <row r="416">
      <c r="A416" s="1"/>
      <c r="B416" s="288"/>
      <c r="C416" s="21"/>
      <c r="D416" s="21"/>
    </row>
    <row r="417">
      <c r="A417" s="1"/>
      <c r="B417" s="288"/>
      <c r="C417" s="21"/>
      <c r="D417" s="21"/>
    </row>
    <row r="418">
      <c r="A418" s="1"/>
      <c r="B418" s="288"/>
      <c r="C418" s="21"/>
      <c r="D418" s="21"/>
    </row>
    <row r="419">
      <c r="A419" s="1"/>
      <c r="B419" s="288"/>
      <c r="C419" s="21"/>
      <c r="D419" s="21"/>
    </row>
    <row r="420">
      <c r="A420" s="1"/>
      <c r="B420" s="288"/>
      <c r="C420" s="21"/>
      <c r="D420" s="21"/>
    </row>
    <row r="421">
      <c r="A421" s="1"/>
      <c r="B421" s="288"/>
      <c r="C421" s="21"/>
      <c r="D421" s="21"/>
    </row>
    <row r="422">
      <c r="A422" s="1"/>
      <c r="B422" s="288"/>
      <c r="C422" s="21"/>
      <c r="D422" s="21"/>
    </row>
    <row r="423">
      <c r="A423" s="1"/>
      <c r="B423" s="288"/>
      <c r="C423" s="21"/>
      <c r="D423" s="21"/>
    </row>
    <row r="424">
      <c r="A424" s="1"/>
      <c r="B424" s="288"/>
      <c r="C424" s="21"/>
      <c r="D424" s="21"/>
    </row>
    <row r="425">
      <c r="A425" s="1"/>
      <c r="B425" s="288"/>
      <c r="C425" s="21"/>
      <c r="D425" s="21"/>
    </row>
    <row r="426">
      <c r="A426" s="1"/>
      <c r="B426" s="288"/>
      <c r="C426" s="21"/>
      <c r="D426" s="21"/>
    </row>
    <row r="427">
      <c r="A427" s="1"/>
      <c r="B427" s="288"/>
      <c r="C427" s="21"/>
      <c r="D427" s="21"/>
    </row>
    <row r="428">
      <c r="A428" s="1"/>
      <c r="B428" s="288"/>
      <c r="C428" s="21"/>
      <c r="D428" s="21"/>
    </row>
    <row r="429">
      <c r="A429" s="1"/>
      <c r="B429" s="288"/>
      <c r="C429" s="21"/>
      <c r="D429" s="21"/>
    </row>
    <row r="430">
      <c r="A430" s="1"/>
      <c r="B430" s="288"/>
      <c r="C430" s="21"/>
      <c r="D430" s="21"/>
    </row>
    <row r="431">
      <c r="A431" s="1"/>
      <c r="B431" s="288"/>
      <c r="C431" s="21"/>
      <c r="D431" s="21"/>
    </row>
    <row r="432">
      <c r="A432" s="1"/>
      <c r="B432" s="288"/>
      <c r="C432" s="21"/>
      <c r="D432" s="21"/>
    </row>
    <row r="433">
      <c r="A433" s="1"/>
      <c r="B433" s="288"/>
      <c r="C433" s="21"/>
      <c r="D433" s="21"/>
    </row>
    <row r="434">
      <c r="A434" s="1"/>
      <c r="B434" s="288"/>
      <c r="C434" s="21"/>
      <c r="D434" s="21"/>
    </row>
    <row r="435">
      <c r="A435" s="1"/>
      <c r="B435" s="288"/>
      <c r="C435" s="21"/>
      <c r="D435" s="21"/>
    </row>
    <row r="436">
      <c r="A436" s="1"/>
      <c r="B436" s="288"/>
      <c r="C436" s="21"/>
      <c r="D436" s="21"/>
    </row>
    <row r="437">
      <c r="A437" s="1"/>
      <c r="B437" s="288"/>
      <c r="C437" s="21"/>
      <c r="D437" s="21"/>
    </row>
    <row r="438">
      <c r="A438" s="1"/>
      <c r="B438" s="288"/>
      <c r="C438" s="21"/>
      <c r="D438" s="21"/>
    </row>
    <row r="439">
      <c r="A439" s="1"/>
      <c r="B439" s="288"/>
      <c r="C439" s="21"/>
      <c r="D439" s="21"/>
    </row>
    <row r="440">
      <c r="A440" s="1"/>
      <c r="B440" s="288"/>
      <c r="C440" s="21"/>
      <c r="D440" s="21"/>
    </row>
    <row r="441">
      <c r="A441" s="1"/>
      <c r="B441" s="288"/>
      <c r="C441" s="21"/>
      <c r="D441" s="21"/>
    </row>
    <row r="442">
      <c r="A442" s="1"/>
      <c r="B442" s="288"/>
      <c r="C442" s="21"/>
      <c r="D442" s="21"/>
    </row>
    <row r="443">
      <c r="A443" s="1"/>
      <c r="B443" s="288"/>
      <c r="C443" s="21"/>
      <c r="D443" s="21"/>
    </row>
    <row r="444">
      <c r="A444" s="1"/>
      <c r="B444" s="288"/>
      <c r="C444" s="21"/>
      <c r="D444" s="21"/>
    </row>
    <row r="445">
      <c r="A445" s="1"/>
      <c r="B445" s="288"/>
      <c r="C445" s="21"/>
      <c r="D445" s="21"/>
    </row>
    <row r="446">
      <c r="A446" s="1"/>
      <c r="B446" s="288"/>
      <c r="C446" s="21"/>
      <c r="D446" s="21"/>
    </row>
    <row r="447">
      <c r="A447" s="1"/>
      <c r="B447" s="288"/>
      <c r="C447" s="21"/>
      <c r="D447" s="21"/>
    </row>
    <row r="448">
      <c r="A448" s="1"/>
      <c r="B448" s="288"/>
      <c r="C448" s="21"/>
      <c r="D448" s="21"/>
    </row>
    <row r="449">
      <c r="A449" s="1"/>
      <c r="B449" s="288"/>
      <c r="C449" s="21"/>
      <c r="D449" s="21"/>
    </row>
    <row r="450">
      <c r="A450" s="1"/>
      <c r="B450" s="288"/>
      <c r="C450" s="21"/>
      <c r="D450" s="21"/>
    </row>
    <row r="451">
      <c r="A451" s="1"/>
      <c r="B451" s="288"/>
      <c r="C451" s="21"/>
      <c r="D451" s="21"/>
    </row>
    <row r="452">
      <c r="A452" s="1"/>
      <c r="B452" s="288"/>
      <c r="C452" s="21"/>
      <c r="D452" s="21"/>
    </row>
    <row r="453">
      <c r="A453" s="1"/>
      <c r="B453" s="288"/>
      <c r="C453" s="21"/>
      <c r="D453" s="21"/>
    </row>
    <row r="454">
      <c r="A454" s="1"/>
      <c r="B454" s="288"/>
      <c r="C454" s="21"/>
      <c r="D454" s="21"/>
    </row>
    <row r="455">
      <c r="A455" s="1"/>
      <c r="B455" s="288"/>
      <c r="C455" s="21"/>
      <c r="D455" s="21"/>
    </row>
    <row r="456">
      <c r="A456" s="1"/>
      <c r="B456" s="288"/>
      <c r="C456" s="21"/>
      <c r="D456" s="21"/>
    </row>
    <row r="457">
      <c r="A457" s="1"/>
      <c r="B457" s="288"/>
      <c r="C457" s="21"/>
      <c r="D457" s="21"/>
    </row>
    <row r="458">
      <c r="A458" s="1"/>
      <c r="B458" s="288"/>
      <c r="C458" s="21"/>
      <c r="D458" s="21"/>
    </row>
    <row r="459">
      <c r="A459" s="1"/>
      <c r="B459" s="288"/>
      <c r="C459" s="21"/>
      <c r="D459" s="21"/>
    </row>
    <row r="460">
      <c r="A460" s="1"/>
      <c r="B460" s="288"/>
      <c r="C460" s="21"/>
      <c r="D460" s="21"/>
    </row>
    <row r="461">
      <c r="A461" s="1"/>
      <c r="B461" s="288"/>
      <c r="C461" s="21"/>
      <c r="D461" s="21"/>
    </row>
    <row r="462">
      <c r="A462" s="1"/>
      <c r="B462" s="288"/>
      <c r="C462" s="21"/>
      <c r="D462" s="21"/>
    </row>
    <row r="463">
      <c r="A463" s="1"/>
      <c r="B463" s="288"/>
      <c r="C463" s="21"/>
      <c r="D463" s="21"/>
    </row>
    <row r="464">
      <c r="A464" s="1"/>
      <c r="B464" s="288"/>
      <c r="C464" s="21"/>
      <c r="D464" s="21"/>
    </row>
    <row r="465">
      <c r="A465" s="1"/>
      <c r="B465" s="288"/>
      <c r="C465" s="21"/>
      <c r="D465" s="21"/>
    </row>
    <row r="466">
      <c r="A466" s="1"/>
      <c r="B466" s="288"/>
      <c r="C466" s="21"/>
      <c r="D466" s="21"/>
    </row>
    <row r="467">
      <c r="A467" s="1"/>
      <c r="B467" s="288"/>
      <c r="C467" s="21"/>
      <c r="D467" s="21"/>
    </row>
    <row r="468">
      <c r="A468" s="1"/>
      <c r="B468" s="288"/>
      <c r="C468" s="21"/>
      <c r="D468" s="21"/>
    </row>
    <row r="469">
      <c r="A469" s="1"/>
      <c r="B469" s="288"/>
      <c r="C469" s="21"/>
      <c r="D469" s="21"/>
    </row>
    <row r="470">
      <c r="A470" s="1"/>
      <c r="B470" s="288"/>
      <c r="C470" s="21"/>
      <c r="D470" s="21"/>
    </row>
    <row r="471">
      <c r="A471" s="1"/>
      <c r="B471" s="288"/>
      <c r="C471" s="21"/>
      <c r="D471" s="21"/>
    </row>
    <row r="472">
      <c r="A472" s="1"/>
      <c r="B472" s="288"/>
      <c r="C472" s="21"/>
      <c r="D472" s="21"/>
    </row>
    <row r="473">
      <c r="A473" s="1"/>
      <c r="B473" s="288"/>
      <c r="C473" s="21"/>
      <c r="D473" s="21"/>
    </row>
    <row r="474">
      <c r="A474" s="1"/>
      <c r="B474" s="288"/>
      <c r="C474" s="21"/>
      <c r="D474" s="21"/>
    </row>
    <row r="475">
      <c r="A475" s="1"/>
      <c r="B475" s="288"/>
      <c r="C475" s="21"/>
      <c r="D475" s="21"/>
    </row>
    <row r="476">
      <c r="A476" s="1"/>
      <c r="B476" s="288"/>
      <c r="C476" s="21"/>
      <c r="D476" s="21"/>
    </row>
    <row r="477">
      <c r="A477" s="1"/>
      <c r="B477" s="288"/>
      <c r="C477" s="21"/>
      <c r="D477" s="21"/>
    </row>
    <row r="478">
      <c r="A478" s="1"/>
      <c r="B478" s="288"/>
      <c r="C478" s="21"/>
      <c r="D478" s="21"/>
    </row>
    <row r="479">
      <c r="A479" s="1"/>
      <c r="B479" s="288"/>
      <c r="C479" s="21"/>
      <c r="D479" s="21"/>
    </row>
    <row r="480">
      <c r="A480" s="1"/>
      <c r="B480" s="288"/>
      <c r="C480" s="21"/>
      <c r="D480" s="21"/>
    </row>
    <row r="481">
      <c r="A481" s="1"/>
      <c r="B481" s="288"/>
      <c r="C481" s="21"/>
      <c r="D481" s="21"/>
    </row>
    <row r="482">
      <c r="A482" s="1"/>
      <c r="B482" s="288"/>
      <c r="C482" s="21"/>
      <c r="D482" s="21"/>
    </row>
    <row r="483">
      <c r="A483" s="1"/>
      <c r="B483" s="288"/>
      <c r="C483" s="21"/>
      <c r="D483" s="21"/>
    </row>
    <row r="484">
      <c r="A484" s="1"/>
      <c r="B484" s="288"/>
      <c r="C484" s="21"/>
      <c r="D484" s="21"/>
    </row>
    <row r="485">
      <c r="A485" s="1"/>
      <c r="B485" s="288"/>
      <c r="C485" s="21"/>
      <c r="D485" s="21"/>
    </row>
    <row r="486">
      <c r="A486" s="1"/>
      <c r="B486" s="288"/>
      <c r="C486" s="21"/>
      <c r="D486" s="21"/>
    </row>
    <row r="487">
      <c r="A487" s="1"/>
      <c r="B487" s="288"/>
      <c r="C487" s="21"/>
      <c r="D487" s="21"/>
    </row>
    <row r="488">
      <c r="A488" s="1"/>
      <c r="B488" s="288"/>
      <c r="C488" s="21"/>
      <c r="D488" s="21"/>
    </row>
    <row r="489">
      <c r="A489" s="1"/>
      <c r="B489" s="288"/>
      <c r="C489" s="21"/>
      <c r="D489" s="21"/>
    </row>
    <row r="490">
      <c r="A490" s="1"/>
      <c r="B490" s="288"/>
      <c r="C490" s="21"/>
      <c r="D490" s="21"/>
    </row>
    <row r="491">
      <c r="A491" s="1"/>
      <c r="B491" s="288"/>
      <c r="C491" s="21"/>
      <c r="D491" s="21"/>
    </row>
    <row r="492">
      <c r="A492" s="1"/>
      <c r="B492" s="288"/>
      <c r="C492" s="21"/>
      <c r="D492" s="21"/>
    </row>
    <row r="493">
      <c r="A493" s="1"/>
      <c r="B493" s="288"/>
      <c r="C493" s="21"/>
      <c r="D493" s="21"/>
    </row>
    <row r="494">
      <c r="A494" s="1"/>
      <c r="B494" s="288"/>
      <c r="C494" s="21"/>
      <c r="D494" s="21"/>
    </row>
    <row r="495">
      <c r="A495" s="1"/>
      <c r="B495" s="288"/>
      <c r="C495" s="21"/>
      <c r="D495" s="21"/>
    </row>
    <row r="496">
      <c r="A496" s="1"/>
      <c r="B496" s="288"/>
      <c r="C496" s="21"/>
      <c r="D496" s="21"/>
    </row>
    <row r="497">
      <c r="A497" s="1"/>
      <c r="B497" s="288"/>
      <c r="C497" s="21"/>
      <c r="D497" s="21"/>
    </row>
    <row r="498">
      <c r="A498" s="1"/>
      <c r="B498" s="288"/>
      <c r="C498" s="21"/>
      <c r="D498" s="21"/>
    </row>
    <row r="499">
      <c r="A499" s="1"/>
      <c r="B499" s="288"/>
      <c r="C499" s="21"/>
      <c r="D499" s="21"/>
    </row>
    <row r="500">
      <c r="A500" s="1"/>
      <c r="B500" s="288"/>
      <c r="C500" s="21"/>
      <c r="D500" s="21"/>
    </row>
    <row r="501">
      <c r="A501" s="1"/>
      <c r="B501" s="288"/>
      <c r="C501" s="21"/>
      <c r="D501" s="21"/>
    </row>
    <row r="502">
      <c r="A502" s="1"/>
      <c r="B502" s="288"/>
      <c r="C502" s="21"/>
      <c r="D502" s="21"/>
    </row>
    <row r="503">
      <c r="A503" s="1"/>
      <c r="B503" s="288"/>
      <c r="C503" s="21"/>
      <c r="D503" s="21"/>
    </row>
    <row r="504">
      <c r="A504" s="1"/>
      <c r="B504" s="288"/>
      <c r="C504" s="21"/>
      <c r="D504" s="21"/>
    </row>
    <row r="505">
      <c r="A505" s="1"/>
      <c r="B505" s="288"/>
      <c r="C505" s="21"/>
      <c r="D505" s="21"/>
    </row>
    <row r="506">
      <c r="A506" s="1"/>
      <c r="B506" s="288"/>
      <c r="C506" s="21"/>
      <c r="D506" s="21"/>
    </row>
    <row r="507">
      <c r="A507" s="1"/>
      <c r="B507" s="288"/>
      <c r="C507" s="21"/>
      <c r="D507" s="21"/>
    </row>
    <row r="508">
      <c r="A508" s="1"/>
      <c r="B508" s="288"/>
      <c r="C508" s="21"/>
      <c r="D508" s="21"/>
    </row>
    <row r="509">
      <c r="A509" s="1"/>
      <c r="B509" s="288"/>
      <c r="C509" s="21"/>
      <c r="D509" s="21"/>
    </row>
    <row r="510">
      <c r="A510" s="1"/>
      <c r="B510" s="288"/>
      <c r="C510" s="21"/>
      <c r="D510" s="21"/>
    </row>
    <row r="511">
      <c r="A511" s="1"/>
      <c r="B511" s="288"/>
      <c r="C511" s="21"/>
      <c r="D511" s="21"/>
    </row>
    <row r="512">
      <c r="A512" s="1"/>
      <c r="B512" s="288"/>
      <c r="C512" s="21"/>
      <c r="D512" s="21"/>
    </row>
    <row r="513">
      <c r="A513" s="1"/>
      <c r="B513" s="288"/>
      <c r="C513" s="21"/>
      <c r="D513" s="21"/>
    </row>
    <row r="514">
      <c r="A514" s="1"/>
      <c r="B514" s="288"/>
      <c r="C514" s="21"/>
      <c r="D514" s="21"/>
    </row>
    <row r="515">
      <c r="A515" s="1"/>
      <c r="B515" s="288"/>
      <c r="C515" s="21"/>
      <c r="D515" s="21"/>
    </row>
    <row r="516">
      <c r="A516" s="1"/>
      <c r="B516" s="288"/>
      <c r="C516" s="21"/>
      <c r="D516" s="21"/>
    </row>
    <row r="517">
      <c r="A517" s="1"/>
      <c r="B517" s="288"/>
      <c r="C517" s="21"/>
      <c r="D517" s="21"/>
    </row>
    <row r="518">
      <c r="A518" s="1"/>
      <c r="B518" s="288"/>
      <c r="C518" s="21"/>
      <c r="D518" s="21"/>
    </row>
    <row r="519">
      <c r="A519" s="1"/>
      <c r="B519" s="288"/>
      <c r="C519" s="21"/>
      <c r="D519" s="21"/>
    </row>
    <row r="520">
      <c r="A520" s="1"/>
      <c r="B520" s="288"/>
      <c r="C520" s="21"/>
      <c r="D520" s="21"/>
    </row>
    <row r="521">
      <c r="A521" s="1"/>
      <c r="B521" s="288"/>
      <c r="C521" s="21"/>
      <c r="D521" s="21"/>
    </row>
    <row r="522">
      <c r="A522" s="1"/>
      <c r="B522" s="288"/>
      <c r="C522" s="21"/>
      <c r="D522" s="21"/>
    </row>
    <row r="523">
      <c r="A523" s="1"/>
      <c r="B523" s="288"/>
      <c r="C523" s="21"/>
      <c r="D523" s="21"/>
    </row>
    <row r="524">
      <c r="A524" s="1"/>
      <c r="B524" s="288"/>
      <c r="C524" s="21"/>
      <c r="D524" s="21"/>
    </row>
    <row r="525">
      <c r="A525" s="1"/>
      <c r="B525" s="288"/>
      <c r="C525" s="21"/>
      <c r="D525" s="21"/>
    </row>
    <row r="526">
      <c r="A526" s="1"/>
      <c r="B526" s="288"/>
      <c r="C526" s="21"/>
      <c r="D526" s="21"/>
    </row>
    <row r="527">
      <c r="A527" s="1"/>
      <c r="B527" s="288"/>
      <c r="C527" s="21"/>
      <c r="D527" s="21"/>
    </row>
    <row r="528">
      <c r="A528" s="1"/>
      <c r="B528" s="288"/>
      <c r="C528" s="21"/>
      <c r="D528" s="21"/>
    </row>
    <row r="529">
      <c r="A529" s="1"/>
      <c r="B529" s="288"/>
      <c r="C529" s="21"/>
      <c r="D529" s="21"/>
    </row>
    <row r="530">
      <c r="A530" s="1"/>
      <c r="B530" s="288"/>
      <c r="C530" s="21"/>
      <c r="D530" s="21"/>
    </row>
    <row r="531">
      <c r="A531" s="1"/>
      <c r="B531" s="288"/>
      <c r="C531" s="21"/>
      <c r="D531" s="21"/>
    </row>
    <row r="532">
      <c r="A532" s="1"/>
      <c r="B532" s="288"/>
      <c r="C532" s="21"/>
      <c r="D532" s="21"/>
    </row>
    <row r="533">
      <c r="A533" s="1"/>
      <c r="B533" s="288"/>
      <c r="C533" s="21"/>
      <c r="D533" s="21"/>
    </row>
    <row r="534">
      <c r="A534" s="1"/>
      <c r="B534" s="288"/>
      <c r="C534" s="21"/>
      <c r="D534" s="21"/>
    </row>
    <row r="535">
      <c r="A535" s="1"/>
      <c r="B535" s="288"/>
      <c r="C535" s="21"/>
      <c r="D535" s="21"/>
    </row>
    <row r="536">
      <c r="A536" s="1"/>
      <c r="B536" s="288"/>
      <c r="C536" s="21"/>
      <c r="D536" s="21"/>
    </row>
    <row r="537">
      <c r="A537" s="1"/>
      <c r="B537" s="288"/>
      <c r="C537" s="21"/>
      <c r="D537" s="21"/>
    </row>
    <row r="538">
      <c r="A538" s="1"/>
      <c r="B538" s="288"/>
      <c r="C538" s="21"/>
      <c r="D538" s="21"/>
    </row>
    <row r="539">
      <c r="A539" s="1"/>
      <c r="B539" s="288"/>
      <c r="C539" s="21"/>
      <c r="D539" s="21"/>
    </row>
    <row r="540">
      <c r="A540" s="1"/>
      <c r="B540" s="288"/>
      <c r="C540" s="21"/>
      <c r="D540" s="21"/>
    </row>
    <row r="541">
      <c r="A541" s="1"/>
      <c r="B541" s="288"/>
      <c r="C541" s="21"/>
      <c r="D541" s="21"/>
    </row>
    <row r="542">
      <c r="A542" s="1"/>
      <c r="B542" s="288"/>
      <c r="C542" s="21"/>
      <c r="D542" s="21"/>
    </row>
    <row r="543">
      <c r="A543" s="1"/>
      <c r="B543" s="288"/>
      <c r="C543" s="21"/>
      <c r="D543" s="21"/>
    </row>
    <row r="544">
      <c r="A544" s="1"/>
      <c r="B544" s="288"/>
      <c r="C544" s="21"/>
      <c r="D544" s="21"/>
    </row>
    <row r="545">
      <c r="A545" s="1"/>
      <c r="B545" s="288"/>
      <c r="C545" s="21"/>
      <c r="D545" s="21"/>
    </row>
    <row r="546">
      <c r="A546" s="1"/>
      <c r="B546" s="288"/>
      <c r="C546" s="21"/>
      <c r="D546" s="21"/>
    </row>
    <row r="547">
      <c r="A547" s="1"/>
      <c r="B547" s="288"/>
      <c r="C547" s="21"/>
      <c r="D547" s="21"/>
    </row>
    <row r="548">
      <c r="A548" s="1"/>
      <c r="B548" s="288"/>
      <c r="C548" s="21"/>
      <c r="D548" s="21"/>
    </row>
    <row r="549">
      <c r="A549" s="1"/>
      <c r="B549" s="288"/>
      <c r="C549" s="21"/>
      <c r="D549" s="21"/>
    </row>
    <row r="550">
      <c r="A550" s="1"/>
      <c r="B550" s="288"/>
      <c r="C550" s="21"/>
      <c r="D550" s="21"/>
    </row>
    <row r="551">
      <c r="A551" s="1"/>
      <c r="B551" s="288"/>
      <c r="C551" s="21"/>
      <c r="D551" s="21"/>
    </row>
    <row r="552">
      <c r="A552" s="1"/>
      <c r="B552" s="288"/>
      <c r="C552" s="21"/>
      <c r="D552" s="21"/>
    </row>
    <row r="553">
      <c r="A553" s="1"/>
      <c r="B553" s="288"/>
      <c r="C553" s="21"/>
      <c r="D553" s="21"/>
    </row>
    <row r="554">
      <c r="A554" s="1"/>
      <c r="B554" s="288"/>
      <c r="C554" s="21"/>
      <c r="D554" s="21"/>
    </row>
    <row r="555">
      <c r="A555" s="1"/>
      <c r="B555" s="288"/>
      <c r="C555" s="21"/>
      <c r="D555" s="21"/>
    </row>
    <row r="556">
      <c r="A556" s="1"/>
      <c r="B556" s="288"/>
      <c r="C556" s="21"/>
      <c r="D556" s="21"/>
    </row>
    <row r="557">
      <c r="A557" s="1"/>
      <c r="B557" s="288"/>
      <c r="C557" s="21"/>
      <c r="D557" s="21"/>
    </row>
    <row r="558">
      <c r="A558" s="1"/>
      <c r="B558" s="288"/>
      <c r="C558" s="21"/>
      <c r="D558" s="21"/>
    </row>
    <row r="559">
      <c r="A559" s="1"/>
      <c r="B559" s="288"/>
      <c r="C559" s="21"/>
      <c r="D559" s="21"/>
    </row>
    <row r="560">
      <c r="A560" s="1"/>
      <c r="B560" s="288"/>
      <c r="C560" s="21"/>
      <c r="D560" s="21"/>
    </row>
    <row r="561">
      <c r="A561" s="1"/>
      <c r="B561" s="288"/>
      <c r="C561" s="21"/>
      <c r="D561" s="21"/>
    </row>
    <row r="562">
      <c r="A562" s="1"/>
      <c r="B562" s="288"/>
      <c r="C562" s="21"/>
      <c r="D562" s="21"/>
    </row>
    <row r="563">
      <c r="A563" s="1"/>
      <c r="B563" s="288"/>
      <c r="C563" s="21"/>
      <c r="D563" s="21"/>
    </row>
    <row r="564">
      <c r="A564" s="1"/>
      <c r="B564" s="288"/>
      <c r="C564" s="21"/>
      <c r="D564" s="21"/>
    </row>
    <row r="565">
      <c r="A565" s="1"/>
      <c r="B565" s="288"/>
      <c r="C565" s="21"/>
      <c r="D565" s="21"/>
    </row>
    <row r="566">
      <c r="A566" s="1"/>
      <c r="B566" s="288"/>
      <c r="C566" s="21"/>
      <c r="D566" s="21"/>
    </row>
    <row r="567">
      <c r="A567" s="1"/>
      <c r="B567" s="288"/>
      <c r="C567" s="21"/>
      <c r="D567" s="21"/>
    </row>
    <row r="568">
      <c r="A568" s="1"/>
      <c r="B568" s="288"/>
      <c r="C568" s="21"/>
      <c r="D568" s="21"/>
    </row>
    <row r="569">
      <c r="A569" s="1"/>
      <c r="B569" s="288"/>
      <c r="C569" s="21"/>
      <c r="D569" s="21"/>
    </row>
    <row r="570">
      <c r="A570" s="1"/>
      <c r="B570" s="288"/>
      <c r="C570" s="21"/>
      <c r="D570" s="21"/>
    </row>
    <row r="571">
      <c r="A571" s="1"/>
      <c r="B571" s="288"/>
      <c r="C571" s="21"/>
      <c r="D571" s="21"/>
    </row>
    <row r="572">
      <c r="A572" s="1"/>
      <c r="B572" s="288"/>
      <c r="C572" s="21"/>
      <c r="D572" s="21"/>
    </row>
    <row r="573">
      <c r="A573" s="1"/>
      <c r="B573" s="288"/>
      <c r="C573" s="21"/>
      <c r="D573" s="21"/>
    </row>
    <row r="574">
      <c r="A574" s="1"/>
      <c r="B574" s="288"/>
      <c r="C574" s="21"/>
      <c r="D574" s="21"/>
    </row>
    <row r="575">
      <c r="A575" s="1"/>
      <c r="B575" s="288"/>
      <c r="C575" s="21"/>
      <c r="D575" s="21"/>
    </row>
    <row r="576">
      <c r="A576" s="1"/>
      <c r="B576" s="288"/>
      <c r="C576" s="21"/>
      <c r="D576" s="21"/>
    </row>
    <row r="577">
      <c r="A577" s="1"/>
      <c r="B577" s="288"/>
      <c r="C577" s="21"/>
      <c r="D577" s="21"/>
    </row>
    <row r="578">
      <c r="A578" s="1"/>
      <c r="B578" s="288"/>
      <c r="C578" s="21"/>
      <c r="D578" s="21"/>
    </row>
    <row r="579">
      <c r="A579" s="1"/>
      <c r="B579" s="288"/>
      <c r="C579" s="21"/>
      <c r="D579" s="21"/>
    </row>
    <row r="580">
      <c r="A580" s="1"/>
      <c r="B580" s="288"/>
      <c r="C580" s="21"/>
      <c r="D580" s="21"/>
    </row>
    <row r="581">
      <c r="A581" s="1"/>
      <c r="B581" s="288"/>
      <c r="C581" s="21"/>
      <c r="D581" s="21"/>
    </row>
    <row r="582">
      <c r="A582" s="1"/>
      <c r="B582" s="288"/>
      <c r="C582" s="21"/>
      <c r="D582" s="21"/>
    </row>
    <row r="583">
      <c r="A583" s="1"/>
      <c r="B583" s="288"/>
      <c r="C583" s="21"/>
      <c r="D583" s="21"/>
    </row>
    <row r="584">
      <c r="A584" s="1"/>
      <c r="B584" s="288"/>
      <c r="C584" s="21"/>
      <c r="D584" s="21"/>
    </row>
    <row r="585">
      <c r="A585" s="1"/>
      <c r="B585" s="288"/>
      <c r="C585" s="21"/>
      <c r="D585" s="21"/>
    </row>
    <row r="586">
      <c r="A586" s="1"/>
      <c r="B586" s="288"/>
      <c r="C586" s="21"/>
      <c r="D586" s="21"/>
    </row>
    <row r="587">
      <c r="A587" s="1"/>
      <c r="B587" s="288"/>
      <c r="C587" s="21"/>
      <c r="D587" s="21"/>
    </row>
    <row r="588">
      <c r="A588" s="1"/>
      <c r="B588" s="288"/>
      <c r="C588" s="21"/>
      <c r="D588" s="21"/>
    </row>
    <row r="589">
      <c r="A589" s="1"/>
      <c r="B589" s="288"/>
      <c r="C589" s="21"/>
      <c r="D589" s="21"/>
    </row>
    <row r="590">
      <c r="A590" s="1"/>
      <c r="B590" s="288"/>
      <c r="C590" s="21"/>
      <c r="D590" s="21"/>
    </row>
    <row r="591">
      <c r="A591" s="1"/>
      <c r="B591" s="288"/>
      <c r="C591" s="21"/>
      <c r="D591" s="21"/>
    </row>
    <row r="592">
      <c r="A592" s="1"/>
      <c r="B592" s="288"/>
      <c r="C592" s="21"/>
      <c r="D592" s="21"/>
    </row>
    <row r="593">
      <c r="A593" s="1"/>
      <c r="B593" s="288"/>
      <c r="C593" s="21"/>
      <c r="D593" s="21"/>
    </row>
    <row r="594">
      <c r="A594" s="1"/>
      <c r="B594" s="288"/>
      <c r="C594" s="21"/>
      <c r="D594" s="21"/>
    </row>
    <row r="595">
      <c r="A595" s="1"/>
      <c r="B595" s="288"/>
      <c r="C595" s="21"/>
      <c r="D595" s="21"/>
    </row>
    <row r="596">
      <c r="A596" s="1"/>
      <c r="B596" s="288"/>
      <c r="C596" s="21"/>
      <c r="D596" s="21"/>
    </row>
    <row r="597">
      <c r="A597" s="1"/>
      <c r="B597" s="288"/>
      <c r="C597" s="21"/>
      <c r="D597" s="21"/>
    </row>
    <row r="598">
      <c r="A598" s="1"/>
      <c r="B598" s="288"/>
      <c r="C598" s="21"/>
      <c r="D598" s="21"/>
    </row>
    <row r="599">
      <c r="A599" s="1"/>
      <c r="B599" s="288"/>
      <c r="C599" s="21"/>
      <c r="D599" s="21"/>
    </row>
    <row r="600">
      <c r="A600" s="1"/>
      <c r="B600" s="288"/>
      <c r="C600" s="21"/>
      <c r="D600" s="21"/>
    </row>
    <row r="601">
      <c r="A601" s="1"/>
      <c r="B601" s="288"/>
      <c r="C601" s="21"/>
      <c r="D601" s="21"/>
    </row>
    <row r="602">
      <c r="A602" s="1"/>
      <c r="B602" s="288"/>
      <c r="C602" s="21"/>
      <c r="D602" s="21"/>
    </row>
    <row r="603">
      <c r="A603" s="1"/>
      <c r="B603" s="288"/>
      <c r="C603" s="21"/>
      <c r="D603" s="21"/>
    </row>
    <row r="604">
      <c r="A604" s="1"/>
      <c r="B604" s="288"/>
      <c r="C604" s="21"/>
      <c r="D604" s="21"/>
    </row>
    <row r="605">
      <c r="A605" s="1"/>
      <c r="B605" s="288"/>
      <c r="C605" s="21"/>
      <c r="D605" s="21"/>
    </row>
    <row r="606">
      <c r="A606" s="1"/>
      <c r="B606" s="288"/>
      <c r="C606" s="21"/>
      <c r="D606" s="21"/>
    </row>
    <row r="607">
      <c r="A607" s="1"/>
      <c r="B607" s="288"/>
      <c r="C607" s="21"/>
      <c r="D607" s="21"/>
    </row>
    <row r="608">
      <c r="A608" s="1"/>
      <c r="B608" s="288"/>
      <c r="C608" s="21"/>
      <c r="D608" s="21"/>
    </row>
    <row r="609">
      <c r="A609" s="1"/>
      <c r="B609" s="288"/>
      <c r="C609" s="21"/>
      <c r="D609" s="21"/>
    </row>
    <row r="610">
      <c r="A610" s="1"/>
      <c r="B610" s="288"/>
      <c r="C610" s="21"/>
      <c r="D610" s="21"/>
    </row>
    <row r="611">
      <c r="A611" s="1"/>
      <c r="B611" s="288"/>
      <c r="C611" s="21"/>
      <c r="D611" s="21"/>
    </row>
    <row r="612">
      <c r="A612" s="1"/>
      <c r="B612" s="288"/>
      <c r="C612" s="21"/>
      <c r="D612" s="21"/>
    </row>
    <row r="613">
      <c r="A613" s="1"/>
      <c r="B613" s="288"/>
      <c r="C613" s="21"/>
      <c r="D613" s="21"/>
    </row>
    <row r="614">
      <c r="A614" s="1"/>
      <c r="B614" s="288"/>
      <c r="C614" s="21"/>
      <c r="D614" s="21"/>
    </row>
    <row r="615">
      <c r="A615" s="1"/>
      <c r="B615" s="288"/>
      <c r="C615" s="21"/>
      <c r="D615" s="21"/>
    </row>
    <row r="616">
      <c r="A616" s="1"/>
      <c r="B616" s="288"/>
      <c r="C616" s="21"/>
      <c r="D616" s="21"/>
    </row>
    <row r="617">
      <c r="A617" s="1"/>
      <c r="B617" s="288"/>
      <c r="C617" s="21"/>
      <c r="D617" s="21"/>
    </row>
    <row r="618">
      <c r="A618" s="1"/>
      <c r="B618" s="288"/>
      <c r="C618" s="21"/>
      <c r="D618" s="21"/>
    </row>
    <row r="619">
      <c r="A619" s="1"/>
      <c r="B619" s="288"/>
      <c r="C619" s="21"/>
      <c r="D619" s="21"/>
    </row>
    <row r="620">
      <c r="A620" s="1"/>
      <c r="B620" s="288"/>
      <c r="C620" s="21"/>
      <c r="D620" s="21"/>
    </row>
    <row r="621">
      <c r="A621" s="1"/>
      <c r="B621" s="288"/>
      <c r="C621" s="21"/>
      <c r="D621" s="21"/>
    </row>
    <row r="622">
      <c r="A622" s="1"/>
      <c r="B622" s="288"/>
      <c r="C622" s="21"/>
      <c r="D622" s="21"/>
    </row>
    <row r="623">
      <c r="A623" s="1"/>
      <c r="B623" s="288"/>
      <c r="C623" s="21"/>
      <c r="D623" s="21"/>
    </row>
    <row r="624">
      <c r="A624" s="1"/>
      <c r="B624" s="288"/>
      <c r="C624" s="21"/>
      <c r="D624" s="21"/>
    </row>
    <row r="625">
      <c r="A625" s="1"/>
      <c r="B625" s="288"/>
      <c r="C625" s="21"/>
      <c r="D625" s="21"/>
    </row>
    <row r="626">
      <c r="A626" s="1"/>
      <c r="B626" s="288"/>
      <c r="C626" s="21"/>
      <c r="D626" s="21"/>
    </row>
    <row r="627">
      <c r="A627" s="1"/>
      <c r="B627" s="288"/>
      <c r="C627" s="21"/>
      <c r="D627" s="21"/>
    </row>
    <row r="628">
      <c r="A628" s="1"/>
      <c r="B628" s="288"/>
      <c r="C628" s="21"/>
      <c r="D628" s="21"/>
    </row>
    <row r="629">
      <c r="A629" s="1"/>
      <c r="B629" s="288"/>
      <c r="C629" s="21"/>
      <c r="D629" s="21"/>
    </row>
    <row r="630">
      <c r="A630" s="1"/>
      <c r="B630" s="288"/>
      <c r="C630" s="21"/>
      <c r="D630" s="21"/>
    </row>
    <row r="631">
      <c r="A631" s="1"/>
      <c r="B631" s="288"/>
      <c r="C631" s="21"/>
      <c r="D631" s="21"/>
    </row>
    <row r="632">
      <c r="A632" s="1"/>
      <c r="B632" s="288"/>
      <c r="C632" s="21"/>
      <c r="D632" s="21"/>
    </row>
    <row r="633">
      <c r="A633" s="1"/>
      <c r="B633" s="288"/>
      <c r="C633" s="21"/>
      <c r="D633" s="21"/>
    </row>
    <row r="634">
      <c r="A634" s="1"/>
      <c r="B634" s="288"/>
      <c r="C634" s="21"/>
      <c r="D634" s="21"/>
    </row>
    <row r="635">
      <c r="A635" s="1"/>
      <c r="B635" s="288"/>
      <c r="C635" s="21"/>
      <c r="D635" s="21"/>
    </row>
    <row r="636">
      <c r="A636" s="1"/>
      <c r="B636" s="288"/>
      <c r="C636" s="21"/>
      <c r="D636" s="21"/>
    </row>
    <row r="637">
      <c r="A637" s="1"/>
      <c r="B637" s="288"/>
      <c r="C637" s="21"/>
      <c r="D637" s="21"/>
    </row>
    <row r="638">
      <c r="A638" s="1"/>
      <c r="B638" s="288"/>
      <c r="C638" s="21"/>
      <c r="D638" s="21"/>
    </row>
    <row r="639">
      <c r="A639" s="1"/>
      <c r="B639" s="288"/>
      <c r="C639" s="21"/>
      <c r="D639" s="21"/>
    </row>
    <row r="640">
      <c r="A640" s="1"/>
      <c r="B640" s="288"/>
      <c r="C640" s="21"/>
      <c r="D640" s="21"/>
    </row>
    <row r="641">
      <c r="A641" s="1"/>
      <c r="B641" s="288"/>
      <c r="C641" s="21"/>
      <c r="D641" s="21"/>
    </row>
    <row r="642">
      <c r="A642" s="1"/>
      <c r="B642" s="288"/>
      <c r="C642" s="21"/>
      <c r="D642" s="21"/>
    </row>
    <row r="643">
      <c r="A643" s="1"/>
      <c r="B643" s="288"/>
      <c r="C643" s="21"/>
      <c r="D643" s="21"/>
    </row>
    <row r="644">
      <c r="A644" s="1"/>
      <c r="B644" s="288"/>
      <c r="C644" s="21"/>
      <c r="D644" s="21"/>
    </row>
    <row r="645">
      <c r="A645" s="1"/>
      <c r="B645" s="288"/>
      <c r="C645" s="21"/>
      <c r="D645" s="21"/>
    </row>
    <row r="646">
      <c r="A646" s="1"/>
      <c r="B646" s="288"/>
      <c r="C646" s="21"/>
      <c r="D646" s="21"/>
    </row>
    <row r="647">
      <c r="A647" s="1"/>
      <c r="B647" s="288"/>
      <c r="C647" s="21"/>
      <c r="D647" s="21"/>
    </row>
    <row r="648">
      <c r="A648" s="1"/>
      <c r="B648" s="288"/>
      <c r="C648" s="21"/>
      <c r="D648" s="21"/>
    </row>
    <row r="649">
      <c r="A649" s="1"/>
      <c r="B649" s="288"/>
      <c r="C649" s="21"/>
      <c r="D649" s="21"/>
    </row>
    <row r="650">
      <c r="A650" s="1"/>
      <c r="B650" s="288"/>
      <c r="C650" s="21"/>
      <c r="D650" s="21"/>
    </row>
    <row r="651">
      <c r="A651" s="1"/>
      <c r="B651" s="288"/>
      <c r="C651" s="21"/>
      <c r="D651" s="21"/>
    </row>
    <row r="652">
      <c r="A652" s="1"/>
      <c r="B652" s="288"/>
      <c r="C652" s="21"/>
      <c r="D652" s="21"/>
    </row>
    <row r="653">
      <c r="A653" s="1"/>
      <c r="B653" s="288"/>
      <c r="C653" s="21"/>
      <c r="D653" s="21"/>
    </row>
    <row r="654">
      <c r="A654" s="1"/>
      <c r="B654" s="288"/>
      <c r="C654" s="21"/>
      <c r="D654" s="21"/>
    </row>
    <row r="655">
      <c r="A655" s="1"/>
      <c r="B655" s="288"/>
      <c r="C655" s="21"/>
      <c r="D655" s="21"/>
    </row>
    <row r="656">
      <c r="A656" s="1"/>
      <c r="B656" s="288"/>
      <c r="C656" s="21"/>
      <c r="D656" s="21"/>
    </row>
    <row r="657">
      <c r="A657" s="1"/>
      <c r="B657" s="288"/>
      <c r="C657" s="21"/>
      <c r="D657" s="21"/>
    </row>
    <row r="658">
      <c r="A658" s="1"/>
      <c r="B658" s="288"/>
      <c r="C658" s="21"/>
      <c r="D658" s="21"/>
    </row>
    <row r="659">
      <c r="A659" s="1"/>
      <c r="B659" s="288"/>
      <c r="C659" s="21"/>
      <c r="D659" s="21"/>
    </row>
    <row r="660">
      <c r="A660" s="1"/>
      <c r="B660" s="288"/>
      <c r="C660" s="21"/>
      <c r="D660" s="21"/>
    </row>
    <row r="661">
      <c r="A661" s="1"/>
      <c r="B661" s="288"/>
      <c r="C661" s="21"/>
      <c r="D661" s="21"/>
    </row>
    <row r="662">
      <c r="A662" s="1"/>
      <c r="B662" s="288"/>
      <c r="C662" s="21"/>
      <c r="D662" s="21"/>
    </row>
    <row r="663">
      <c r="A663" s="1"/>
      <c r="B663" s="288"/>
      <c r="C663" s="21"/>
      <c r="D663" s="21"/>
    </row>
    <row r="664">
      <c r="A664" s="1"/>
      <c r="B664" s="288"/>
      <c r="C664" s="21"/>
      <c r="D664" s="21"/>
    </row>
    <row r="665">
      <c r="A665" s="1"/>
      <c r="B665" s="288"/>
      <c r="C665" s="21"/>
      <c r="D665" s="21"/>
    </row>
    <row r="666">
      <c r="A666" s="1"/>
      <c r="B666" s="288"/>
      <c r="C666" s="21"/>
      <c r="D666" s="21"/>
    </row>
    <row r="667">
      <c r="A667" s="1"/>
      <c r="B667" s="288"/>
      <c r="C667" s="21"/>
      <c r="D667" s="21"/>
    </row>
    <row r="668">
      <c r="A668" s="1"/>
      <c r="B668" s="288"/>
      <c r="C668" s="21"/>
      <c r="D668" s="21"/>
    </row>
    <row r="669">
      <c r="A669" s="1"/>
      <c r="B669" s="288"/>
      <c r="C669" s="21"/>
      <c r="D669" s="21"/>
    </row>
    <row r="670">
      <c r="A670" s="1"/>
      <c r="B670" s="288"/>
      <c r="C670" s="21"/>
      <c r="D670" s="21"/>
    </row>
    <row r="671">
      <c r="A671" s="1"/>
      <c r="B671" s="288"/>
      <c r="C671" s="21"/>
      <c r="D671" s="21"/>
    </row>
    <row r="672">
      <c r="A672" s="1"/>
      <c r="B672" s="288"/>
      <c r="C672" s="21"/>
      <c r="D672" s="21"/>
    </row>
    <row r="673">
      <c r="A673" s="1"/>
      <c r="B673" s="288"/>
      <c r="C673" s="21"/>
      <c r="D673" s="21"/>
    </row>
    <row r="674">
      <c r="A674" s="1"/>
      <c r="B674" s="288"/>
      <c r="C674" s="21"/>
      <c r="D674" s="21"/>
    </row>
    <row r="675">
      <c r="A675" s="1"/>
      <c r="B675" s="288"/>
      <c r="C675" s="21"/>
      <c r="D675" s="21"/>
    </row>
    <row r="676">
      <c r="A676" s="1"/>
      <c r="B676" s="288"/>
      <c r="C676" s="21"/>
      <c r="D676" s="21"/>
    </row>
    <row r="677">
      <c r="A677" s="1"/>
      <c r="B677" s="288"/>
      <c r="C677" s="21"/>
      <c r="D677" s="21"/>
    </row>
    <row r="678">
      <c r="A678" s="1"/>
      <c r="B678" s="288"/>
      <c r="C678" s="21"/>
      <c r="D678" s="21"/>
    </row>
    <row r="679">
      <c r="A679" s="1"/>
      <c r="B679" s="288"/>
      <c r="C679" s="21"/>
      <c r="D679" s="21"/>
    </row>
    <row r="680">
      <c r="A680" s="1"/>
      <c r="B680" s="288"/>
      <c r="C680" s="21"/>
      <c r="D680" s="21"/>
    </row>
    <row r="681">
      <c r="A681" s="1"/>
      <c r="B681" s="288"/>
      <c r="C681" s="21"/>
      <c r="D681" s="21"/>
    </row>
    <row r="682">
      <c r="A682" s="1"/>
      <c r="B682" s="288"/>
      <c r="C682" s="21"/>
      <c r="D682" s="21"/>
    </row>
    <row r="683">
      <c r="A683" s="1"/>
      <c r="B683" s="288"/>
      <c r="C683" s="21"/>
      <c r="D683" s="21"/>
    </row>
    <row r="684">
      <c r="A684" s="1"/>
      <c r="B684" s="288"/>
      <c r="C684" s="21"/>
      <c r="D684" s="21"/>
    </row>
    <row r="685">
      <c r="A685" s="1"/>
      <c r="B685" s="288"/>
      <c r="C685" s="21"/>
      <c r="D685" s="21"/>
    </row>
    <row r="686">
      <c r="A686" s="1"/>
      <c r="B686" s="288"/>
      <c r="C686" s="21"/>
      <c r="D686" s="21"/>
    </row>
    <row r="687">
      <c r="A687" s="1"/>
      <c r="B687" s="288"/>
      <c r="C687" s="21"/>
      <c r="D687" s="21"/>
    </row>
    <row r="688">
      <c r="A688" s="1"/>
      <c r="B688" s="288"/>
      <c r="C688" s="21"/>
      <c r="D688" s="21"/>
    </row>
    <row r="689">
      <c r="A689" s="1"/>
      <c r="B689" s="288"/>
      <c r="C689" s="21"/>
      <c r="D689" s="21"/>
    </row>
    <row r="690">
      <c r="A690" s="1"/>
      <c r="B690" s="288"/>
      <c r="C690" s="21"/>
      <c r="D690" s="21"/>
    </row>
    <row r="691">
      <c r="A691" s="1"/>
      <c r="B691" s="288"/>
      <c r="C691" s="21"/>
      <c r="D691" s="21"/>
    </row>
    <row r="692">
      <c r="A692" s="1"/>
      <c r="B692" s="288"/>
      <c r="C692" s="21"/>
      <c r="D692" s="21"/>
    </row>
    <row r="693">
      <c r="A693" s="1"/>
      <c r="B693" s="288"/>
      <c r="C693" s="21"/>
      <c r="D693" s="21"/>
    </row>
    <row r="694">
      <c r="A694" s="1"/>
      <c r="B694" s="288"/>
      <c r="C694" s="21"/>
      <c r="D694" s="21"/>
    </row>
    <row r="695">
      <c r="A695" s="1"/>
      <c r="B695" s="288"/>
      <c r="C695" s="21"/>
      <c r="D695" s="21"/>
    </row>
    <row r="696">
      <c r="A696" s="1"/>
      <c r="B696" s="288"/>
      <c r="C696" s="21"/>
      <c r="D696" s="21"/>
    </row>
    <row r="697">
      <c r="A697" s="1"/>
      <c r="B697" s="288"/>
      <c r="C697" s="21"/>
      <c r="D697" s="21"/>
    </row>
    <row r="698">
      <c r="A698" s="1"/>
      <c r="B698" s="288"/>
      <c r="C698" s="21"/>
      <c r="D698" s="21"/>
    </row>
    <row r="699">
      <c r="A699" s="1"/>
      <c r="B699" s="288"/>
      <c r="C699" s="21"/>
      <c r="D699" s="21"/>
    </row>
    <row r="700">
      <c r="A700" s="1"/>
      <c r="B700" s="288"/>
      <c r="C700" s="21"/>
      <c r="D700" s="21"/>
    </row>
    <row r="701">
      <c r="A701" s="1"/>
      <c r="B701" s="288"/>
      <c r="C701" s="21"/>
      <c r="D701" s="21"/>
    </row>
    <row r="702">
      <c r="A702" s="1"/>
      <c r="B702" s="288"/>
      <c r="C702" s="21"/>
      <c r="D702" s="21"/>
    </row>
    <row r="703">
      <c r="A703" s="1"/>
      <c r="B703" s="288"/>
      <c r="C703" s="21"/>
      <c r="D703" s="21"/>
    </row>
    <row r="704">
      <c r="A704" s="1"/>
      <c r="B704" s="288"/>
      <c r="C704" s="21"/>
      <c r="D704" s="21"/>
    </row>
    <row r="705">
      <c r="A705" s="1"/>
      <c r="B705" s="288"/>
      <c r="C705" s="21"/>
      <c r="D705" s="21"/>
    </row>
    <row r="706">
      <c r="A706" s="1"/>
      <c r="B706" s="288"/>
      <c r="C706" s="21"/>
      <c r="D706" s="21"/>
    </row>
    <row r="707">
      <c r="A707" s="1"/>
      <c r="B707" s="288"/>
      <c r="C707" s="21"/>
      <c r="D707" s="21"/>
    </row>
    <row r="708">
      <c r="A708" s="1"/>
      <c r="B708" s="288"/>
      <c r="C708" s="21"/>
      <c r="D708" s="21"/>
    </row>
    <row r="709">
      <c r="A709" s="1"/>
      <c r="B709" s="288"/>
      <c r="C709" s="21"/>
      <c r="D709" s="21"/>
    </row>
    <row r="710">
      <c r="A710" s="1"/>
      <c r="B710" s="288"/>
      <c r="C710" s="21"/>
      <c r="D710" s="21"/>
    </row>
    <row r="711">
      <c r="A711" s="1"/>
      <c r="B711" s="288"/>
      <c r="C711" s="21"/>
      <c r="D711" s="21"/>
    </row>
    <row r="712">
      <c r="A712" s="1"/>
      <c r="B712" s="288"/>
      <c r="C712" s="21"/>
      <c r="D712" s="21"/>
    </row>
    <row r="713">
      <c r="A713" s="1"/>
      <c r="B713" s="288"/>
      <c r="C713" s="21"/>
      <c r="D713" s="21"/>
    </row>
    <row r="714">
      <c r="A714" s="1"/>
      <c r="B714" s="288"/>
      <c r="C714" s="21"/>
      <c r="D714" s="21"/>
    </row>
    <row r="715">
      <c r="A715" s="1"/>
      <c r="B715" s="288"/>
      <c r="C715" s="21"/>
      <c r="D715" s="21"/>
    </row>
    <row r="716">
      <c r="A716" s="1"/>
      <c r="B716" s="288"/>
      <c r="C716" s="21"/>
      <c r="D716" s="21"/>
    </row>
    <row r="717">
      <c r="A717" s="1"/>
      <c r="B717" s="288"/>
      <c r="C717" s="21"/>
      <c r="D717" s="21"/>
    </row>
    <row r="718">
      <c r="A718" s="1"/>
      <c r="B718" s="288"/>
      <c r="C718" s="21"/>
      <c r="D718" s="21"/>
    </row>
    <row r="719">
      <c r="A719" s="1"/>
      <c r="B719" s="288"/>
      <c r="C719" s="21"/>
      <c r="D719" s="21"/>
    </row>
    <row r="720">
      <c r="A720" s="1"/>
      <c r="B720" s="288"/>
      <c r="C720" s="21"/>
      <c r="D720" s="21"/>
    </row>
    <row r="721">
      <c r="A721" s="1"/>
      <c r="B721" s="288"/>
      <c r="C721" s="21"/>
      <c r="D721" s="21"/>
    </row>
    <row r="722">
      <c r="A722" s="1"/>
      <c r="B722" s="288"/>
      <c r="C722" s="21"/>
      <c r="D722" s="21"/>
    </row>
    <row r="723">
      <c r="A723" s="1"/>
      <c r="B723" s="288"/>
      <c r="C723" s="21"/>
      <c r="D723" s="21"/>
    </row>
    <row r="724">
      <c r="A724" s="1"/>
      <c r="B724" s="288"/>
      <c r="C724" s="21"/>
      <c r="D724" s="21"/>
    </row>
    <row r="725">
      <c r="A725" s="1"/>
      <c r="B725" s="288"/>
      <c r="C725" s="21"/>
      <c r="D725" s="21"/>
    </row>
    <row r="726">
      <c r="A726" s="1"/>
      <c r="B726" s="288"/>
      <c r="C726" s="21"/>
      <c r="D726" s="21"/>
    </row>
    <row r="727">
      <c r="A727" s="1"/>
      <c r="B727" s="288"/>
      <c r="C727" s="21"/>
      <c r="D727" s="21"/>
    </row>
    <row r="728">
      <c r="A728" s="1"/>
      <c r="B728" s="288"/>
      <c r="C728" s="21"/>
      <c r="D728" s="21"/>
    </row>
    <row r="729">
      <c r="A729" s="1"/>
      <c r="B729" s="288"/>
      <c r="C729" s="21"/>
      <c r="D729" s="21"/>
    </row>
    <row r="730">
      <c r="A730" s="1"/>
      <c r="B730" s="288"/>
      <c r="C730" s="21"/>
      <c r="D730" s="21"/>
    </row>
    <row r="731">
      <c r="A731" s="1"/>
      <c r="B731" s="288"/>
      <c r="C731" s="21"/>
      <c r="D731" s="21"/>
    </row>
    <row r="732">
      <c r="A732" s="1"/>
      <c r="B732" s="288"/>
      <c r="C732" s="21"/>
      <c r="D732" s="21"/>
    </row>
    <row r="733">
      <c r="A733" s="1"/>
      <c r="B733" s="288"/>
      <c r="C733" s="21"/>
      <c r="D733" s="21"/>
    </row>
    <row r="734">
      <c r="A734" s="1"/>
      <c r="B734" s="288"/>
      <c r="C734" s="21"/>
      <c r="D734" s="21"/>
    </row>
    <row r="735">
      <c r="A735" s="1"/>
      <c r="B735" s="288"/>
      <c r="C735" s="21"/>
      <c r="D735" s="21"/>
    </row>
    <row r="736">
      <c r="A736" s="1"/>
      <c r="B736" s="288"/>
      <c r="C736" s="21"/>
      <c r="D736" s="21"/>
    </row>
    <row r="737">
      <c r="A737" s="1"/>
      <c r="B737" s="288"/>
      <c r="C737" s="21"/>
      <c r="D737" s="21"/>
    </row>
    <row r="738">
      <c r="A738" s="1"/>
      <c r="B738" s="288"/>
      <c r="C738" s="21"/>
      <c r="D738" s="21"/>
    </row>
    <row r="739">
      <c r="A739" s="1"/>
      <c r="B739" s="288"/>
      <c r="C739" s="21"/>
      <c r="D739" s="21"/>
    </row>
    <row r="740">
      <c r="A740" s="1"/>
      <c r="B740" s="288"/>
      <c r="C740" s="21"/>
      <c r="D740" s="21"/>
    </row>
    <row r="741">
      <c r="A741" s="1"/>
      <c r="B741" s="288"/>
      <c r="C741" s="21"/>
      <c r="D741" s="21"/>
    </row>
    <row r="742">
      <c r="A742" s="1"/>
      <c r="B742" s="288"/>
      <c r="C742" s="21"/>
      <c r="D742" s="21"/>
    </row>
    <row r="743">
      <c r="A743" s="1"/>
      <c r="B743" s="288"/>
      <c r="C743" s="21"/>
      <c r="D743" s="21"/>
    </row>
    <row r="744">
      <c r="A744" s="1"/>
      <c r="B744" s="288"/>
      <c r="C744" s="21"/>
      <c r="D744" s="21"/>
    </row>
    <row r="745">
      <c r="A745" s="1"/>
      <c r="B745" s="288"/>
      <c r="C745" s="21"/>
      <c r="D745" s="21"/>
    </row>
    <row r="746">
      <c r="A746" s="1"/>
      <c r="B746" s="288"/>
      <c r="C746" s="21"/>
      <c r="D746" s="21"/>
    </row>
    <row r="747">
      <c r="A747" s="1"/>
      <c r="B747" s="288"/>
      <c r="C747" s="21"/>
      <c r="D747" s="21"/>
    </row>
    <row r="748">
      <c r="A748" s="1"/>
      <c r="B748" s="288"/>
      <c r="C748" s="21"/>
      <c r="D748" s="21"/>
    </row>
    <row r="749">
      <c r="A749" s="1"/>
      <c r="B749" s="288"/>
      <c r="C749" s="21"/>
      <c r="D749" s="21"/>
    </row>
    <row r="750">
      <c r="A750" s="1"/>
      <c r="B750" s="288"/>
      <c r="C750" s="21"/>
      <c r="D750" s="21"/>
    </row>
    <row r="751">
      <c r="A751" s="1"/>
      <c r="B751" s="288"/>
      <c r="C751" s="21"/>
      <c r="D751" s="21"/>
    </row>
    <row r="752">
      <c r="A752" s="1"/>
      <c r="B752" s="288"/>
      <c r="C752" s="21"/>
      <c r="D752" s="21"/>
    </row>
    <row r="753">
      <c r="A753" s="1"/>
      <c r="B753" s="288"/>
      <c r="C753" s="21"/>
      <c r="D753" s="21"/>
    </row>
    <row r="754">
      <c r="A754" s="1"/>
      <c r="B754" s="288"/>
      <c r="C754" s="21"/>
      <c r="D754" s="21"/>
    </row>
    <row r="755">
      <c r="A755" s="1"/>
      <c r="B755" s="288"/>
      <c r="C755" s="21"/>
      <c r="D755" s="21"/>
    </row>
    <row r="756">
      <c r="A756" s="1"/>
      <c r="B756" s="288"/>
      <c r="C756" s="21"/>
      <c r="D756" s="21"/>
    </row>
    <row r="757">
      <c r="A757" s="1"/>
      <c r="B757" s="288"/>
      <c r="C757" s="21"/>
      <c r="D757" s="21"/>
    </row>
    <row r="758">
      <c r="A758" s="1"/>
      <c r="B758" s="288"/>
      <c r="C758" s="21"/>
      <c r="D758" s="21"/>
    </row>
    <row r="759">
      <c r="A759" s="1"/>
      <c r="B759" s="288"/>
      <c r="C759" s="21"/>
      <c r="D759" s="21"/>
    </row>
    <row r="760">
      <c r="A760" s="1"/>
      <c r="B760" s="288"/>
      <c r="C760" s="21"/>
      <c r="D760" s="21"/>
    </row>
    <row r="761">
      <c r="A761" s="1"/>
      <c r="B761" s="288"/>
      <c r="C761" s="21"/>
      <c r="D761" s="21"/>
    </row>
    <row r="762">
      <c r="A762" s="1"/>
      <c r="B762" s="288"/>
      <c r="C762" s="21"/>
      <c r="D762" s="21"/>
    </row>
    <row r="763">
      <c r="A763" s="1"/>
      <c r="B763" s="288"/>
      <c r="C763" s="21"/>
      <c r="D763" s="21"/>
    </row>
    <row r="764">
      <c r="A764" s="1"/>
      <c r="B764" s="288"/>
      <c r="C764" s="21"/>
      <c r="D764" s="21"/>
    </row>
    <row r="765">
      <c r="A765" s="1"/>
      <c r="B765" s="288"/>
      <c r="C765" s="21"/>
      <c r="D765" s="21"/>
    </row>
    <row r="766">
      <c r="A766" s="1"/>
      <c r="B766" s="288"/>
      <c r="C766" s="21"/>
      <c r="D766" s="21"/>
    </row>
    <row r="767">
      <c r="A767" s="1"/>
      <c r="B767" s="288"/>
      <c r="C767" s="21"/>
      <c r="D767" s="21"/>
    </row>
    <row r="768">
      <c r="A768" s="1"/>
      <c r="B768" s="288"/>
      <c r="C768" s="21"/>
      <c r="D768" s="21"/>
    </row>
    <row r="769">
      <c r="A769" s="1"/>
      <c r="B769" s="288"/>
      <c r="C769" s="21"/>
      <c r="D769" s="21"/>
    </row>
    <row r="770">
      <c r="A770" s="1"/>
      <c r="B770" s="288"/>
      <c r="C770" s="21"/>
      <c r="D770" s="21"/>
    </row>
    <row r="771">
      <c r="A771" s="1"/>
      <c r="B771" s="288"/>
      <c r="C771" s="21"/>
      <c r="D771" s="21"/>
    </row>
    <row r="772">
      <c r="A772" s="1"/>
      <c r="B772" s="288"/>
      <c r="C772" s="21"/>
      <c r="D772" s="21"/>
    </row>
    <row r="773">
      <c r="A773" s="1"/>
      <c r="B773" s="288"/>
      <c r="C773" s="21"/>
      <c r="D773" s="21"/>
    </row>
    <row r="774">
      <c r="A774" s="1"/>
      <c r="B774" s="288"/>
      <c r="C774" s="21"/>
      <c r="D774" s="21"/>
    </row>
    <row r="775">
      <c r="A775" s="1"/>
      <c r="B775" s="288"/>
      <c r="C775" s="21"/>
      <c r="D775" s="21"/>
    </row>
    <row r="776">
      <c r="A776" s="1"/>
      <c r="B776" s="288"/>
      <c r="C776" s="21"/>
      <c r="D776" s="21"/>
    </row>
    <row r="777">
      <c r="A777" s="1"/>
      <c r="B777" s="288"/>
      <c r="C777" s="21"/>
      <c r="D777" s="21"/>
    </row>
    <row r="778">
      <c r="A778" s="1"/>
      <c r="B778" s="288"/>
      <c r="C778" s="21"/>
      <c r="D778" s="21"/>
    </row>
    <row r="779">
      <c r="A779" s="1"/>
      <c r="B779" s="288"/>
      <c r="C779" s="21"/>
      <c r="D779" s="21"/>
    </row>
    <row r="780">
      <c r="A780" s="1"/>
      <c r="B780" s="288"/>
      <c r="C780" s="21"/>
      <c r="D780" s="21"/>
    </row>
    <row r="781">
      <c r="A781" s="1"/>
      <c r="B781" s="288"/>
      <c r="C781" s="21"/>
      <c r="D781" s="21"/>
    </row>
    <row r="782">
      <c r="A782" s="1"/>
      <c r="B782" s="288"/>
      <c r="C782" s="21"/>
      <c r="D782" s="21"/>
    </row>
    <row r="783">
      <c r="A783" s="1"/>
      <c r="B783" s="288"/>
      <c r="C783" s="21"/>
      <c r="D783" s="21"/>
    </row>
    <row r="784">
      <c r="A784" s="1"/>
      <c r="B784" s="288"/>
      <c r="C784" s="21"/>
      <c r="D784" s="21"/>
    </row>
    <row r="785">
      <c r="A785" s="1"/>
      <c r="B785" s="288"/>
      <c r="C785" s="21"/>
      <c r="D785" s="21"/>
    </row>
    <row r="786">
      <c r="A786" s="1"/>
      <c r="B786" s="288"/>
      <c r="C786" s="21"/>
      <c r="D786" s="21"/>
    </row>
    <row r="787">
      <c r="A787" s="1"/>
      <c r="B787" s="288"/>
      <c r="C787" s="21"/>
      <c r="D787" s="21"/>
    </row>
    <row r="788">
      <c r="A788" s="1"/>
      <c r="B788" s="288"/>
      <c r="C788" s="21"/>
      <c r="D788" s="21"/>
    </row>
    <row r="789">
      <c r="A789" s="1"/>
      <c r="B789" s="288"/>
      <c r="C789" s="21"/>
      <c r="D789" s="21"/>
    </row>
    <row r="790">
      <c r="A790" s="1"/>
      <c r="B790" s="288"/>
      <c r="C790" s="21"/>
      <c r="D790" s="21"/>
    </row>
    <row r="791">
      <c r="A791" s="1"/>
      <c r="B791" s="288"/>
      <c r="C791" s="21"/>
      <c r="D791" s="21"/>
    </row>
    <row r="792">
      <c r="A792" s="1"/>
      <c r="B792" s="288"/>
      <c r="C792" s="21"/>
      <c r="D792" s="21"/>
    </row>
    <row r="793">
      <c r="A793" s="1"/>
      <c r="B793" s="288"/>
      <c r="C793" s="21"/>
      <c r="D793" s="21"/>
    </row>
    <row r="794">
      <c r="A794" s="1"/>
      <c r="B794" s="288"/>
      <c r="C794" s="21"/>
      <c r="D794" s="21"/>
    </row>
    <row r="795">
      <c r="A795" s="1"/>
      <c r="B795" s="288"/>
      <c r="C795" s="21"/>
      <c r="D795" s="21"/>
    </row>
    <row r="796">
      <c r="A796" s="1"/>
      <c r="B796" s="288"/>
      <c r="C796" s="21"/>
      <c r="D796" s="21"/>
    </row>
    <row r="797">
      <c r="A797" s="1"/>
      <c r="B797" s="288"/>
      <c r="C797" s="21"/>
      <c r="D797" s="21"/>
    </row>
    <row r="798">
      <c r="A798" s="1"/>
      <c r="B798" s="288"/>
      <c r="C798" s="21"/>
      <c r="D798" s="21"/>
    </row>
    <row r="799">
      <c r="A799" s="1"/>
      <c r="B799" s="288"/>
      <c r="C799" s="21"/>
      <c r="D799" s="21"/>
    </row>
    <row r="800">
      <c r="A800" s="1"/>
      <c r="B800" s="288"/>
      <c r="C800" s="21"/>
      <c r="D800" s="21"/>
    </row>
    <row r="801">
      <c r="A801" s="1"/>
      <c r="B801" s="288"/>
      <c r="C801" s="21"/>
      <c r="D801" s="21"/>
    </row>
    <row r="802">
      <c r="A802" s="1"/>
      <c r="B802" s="288"/>
      <c r="C802" s="21"/>
      <c r="D802" s="21"/>
    </row>
    <row r="803">
      <c r="A803" s="1"/>
      <c r="B803" s="288"/>
      <c r="C803" s="21"/>
      <c r="D803" s="21"/>
    </row>
    <row r="804">
      <c r="A804" s="1"/>
      <c r="B804" s="288"/>
      <c r="C804" s="21"/>
      <c r="D804" s="21"/>
    </row>
    <row r="805">
      <c r="A805" s="1"/>
      <c r="B805" s="288"/>
      <c r="C805" s="21"/>
      <c r="D805" s="21"/>
    </row>
    <row r="806">
      <c r="A806" s="1"/>
      <c r="B806" s="288"/>
      <c r="C806" s="21"/>
      <c r="D806" s="21"/>
    </row>
    <row r="807">
      <c r="A807" s="1"/>
      <c r="B807" s="288"/>
      <c r="C807" s="21"/>
      <c r="D807" s="21"/>
    </row>
    <row r="808">
      <c r="A808" s="1"/>
      <c r="B808" s="288"/>
      <c r="C808" s="21"/>
      <c r="D808" s="21"/>
    </row>
    <row r="809">
      <c r="A809" s="1"/>
      <c r="B809" s="288"/>
      <c r="C809" s="21"/>
      <c r="D809" s="21"/>
    </row>
    <row r="810">
      <c r="A810" s="1"/>
      <c r="B810" s="288"/>
      <c r="C810" s="21"/>
      <c r="D810" s="21"/>
    </row>
    <row r="811">
      <c r="A811" s="1"/>
      <c r="B811" s="288"/>
      <c r="C811" s="21"/>
      <c r="D811" s="21"/>
    </row>
    <row r="812">
      <c r="A812" s="1"/>
      <c r="B812" s="288"/>
      <c r="C812" s="21"/>
      <c r="D812" s="21"/>
    </row>
    <row r="813">
      <c r="A813" s="1"/>
      <c r="B813" s="288"/>
      <c r="C813" s="21"/>
      <c r="D813" s="21"/>
    </row>
    <row r="814">
      <c r="A814" s="1"/>
      <c r="B814" s="288"/>
      <c r="C814" s="21"/>
      <c r="D814" s="21"/>
    </row>
    <row r="815">
      <c r="A815" s="1"/>
      <c r="B815" s="288"/>
      <c r="C815" s="21"/>
      <c r="D815" s="21"/>
    </row>
    <row r="816">
      <c r="A816" s="1"/>
      <c r="B816" s="288"/>
      <c r="C816" s="21"/>
      <c r="D816" s="21"/>
    </row>
    <row r="817">
      <c r="A817" s="1"/>
      <c r="B817" s="288"/>
      <c r="C817" s="21"/>
      <c r="D817" s="21"/>
    </row>
    <row r="818">
      <c r="A818" s="1"/>
      <c r="B818" s="288"/>
      <c r="C818" s="21"/>
      <c r="D818" s="21"/>
    </row>
    <row r="819">
      <c r="A819" s="1"/>
      <c r="B819" s="288"/>
      <c r="C819" s="21"/>
      <c r="D819" s="21"/>
    </row>
    <row r="820">
      <c r="A820" s="1"/>
      <c r="B820" s="288"/>
      <c r="C820" s="21"/>
      <c r="D820" s="21"/>
    </row>
    <row r="821">
      <c r="A821" s="1"/>
      <c r="B821" s="288"/>
      <c r="C821" s="21"/>
      <c r="D821" s="21"/>
    </row>
    <row r="822">
      <c r="A822" s="1"/>
      <c r="B822" s="288"/>
      <c r="C822" s="21"/>
      <c r="D822" s="21"/>
    </row>
    <row r="823">
      <c r="A823" s="1"/>
      <c r="B823" s="288"/>
      <c r="C823" s="21"/>
      <c r="D823" s="21"/>
    </row>
    <row r="824">
      <c r="A824" s="1"/>
      <c r="B824" s="288"/>
      <c r="C824" s="21"/>
      <c r="D824" s="21"/>
    </row>
    <row r="825">
      <c r="A825" s="1"/>
      <c r="B825" s="288"/>
      <c r="C825" s="21"/>
      <c r="D825" s="21"/>
    </row>
    <row r="826">
      <c r="A826" s="1"/>
      <c r="B826" s="288"/>
      <c r="C826" s="21"/>
      <c r="D826" s="21"/>
    </row>
    <row r="827">
      <c r="A827" s="1"/>
      <c r="B827" s="288"/>
      <c r="C827" s="21"/>
      <c r="D827" s="21"/>
    </row>
    <row r="828">
      <c r="A828" s="1"/>
      <c r="B828" s="288"/>
      <c r="C828" s="21"/>
      <c r="D828" s="21"/>
    </row>
    <row r="829">
      <c r="A829" s="1"/>
      <c r="B829" s="288"/>
      <c r="C829" s="21"/>
      <c r="D829" s="21"/>
    </row>
    <row r="830">
      <c r="A830" s="1"/>
      <c r="B830" s="288"/>
      <c r="C830" s="21"/>
      <c r="D830" s="21"/>
    </row>
    <row r="831">
      <c r="A831" s="1"/>
      <c r="B831" s="288"/>
      <c r="C831" s="21"/>
      <c r="D831" s="21"/>
    </row>
    <row r="832">
      <c r="A832" s="1"/>
      <c r="B832" s="288"/>
      <c r="C832" s="21"/>
      <c r="D832" s="21"/>
    </row>
    <row r="833">
      <c r="A833" s="1"/>
      <c r="B833" s="288"/>
      <c r="C833" s="21"/>
      <c r="D833" s="21"/>
    </row>
    <row r="834">
      <c r="A834" s="1"/>
      <c r="B834" s="288"/>
      <c r="C834" s="21"/>
      <c r="D834" s="21"/>
    </row>
    <row r="835">
      <c r="A835" s="1"/>
      <c r="B835" s="288"/>
      <c r="C835" s="21"/>
      <c r="D835" s="21"/>
    </row>
    <row r="836">
      <c r="A836" s="1"/>
      <c r="B836" s="288"/>
      <c r="C836" s="21"/>
      <c r="D836" s="21"/>
    </row>
    <row r="837">
      <c r="A837" s="1"/>
      <c r="B837" s="288"/>
      <c r="C837" s="21"/>
      <c r="D837" s="21"/>
    </row>
    <row r="838">
      <c r="A838" s="1"/>
      <c r="B838" s="288"/>
      <c r="C838" s="21"/>
      <c r="D838" s="21"/>
    </row>
    <row r="839">
      <c r="A839" s="1"/>
      <c r="B839" s="288"/>
      <c r="C839" s="21"/>
      <c r="D839" s="21"/>
    </row>
    <row r="840">
      <c r="A840" s="1"/>
      <c r="B840" s="288"/>
      <c r="C840" s="21"/>
      <c r="D840" s="21"/>
    </row>
    <row r="841">
      <c r="A841" s="1"/>
      <c r="B841" s="288"/>
      <c r="C841" s="21"/>
      <c r="D841" s="21"/>
    </row>
    <row r="842">
      <c r="A842" s="1"/>
      <c r="B842" s="288"/>
      <c r="C842" s="21"/>
      <c r="D842" s="21"/>
    </row>
    <row r="843">
      <c r="A843" s="1"/>
      <c r="B843" s="288"/>
      <c r="C843" s="21"/>
      <c r="D843" s="21"/>
    </row>
    <row r="844">
      <c r="A844" s="1"/>
      <c r="B844" s="288"/>
      <c r="C844" s="21"/>
      <c r="D844" s="21"/>
    </row>
    <row r="845">
      <c r="A845" s="1"/>
      <c r="B845" s="288"/>
      <c r="C845" s="21"/>
      <c r="D845" s="21"/>
    </row>
    <row r="846">
      <c r="A846" s="1"/>
      <c r="B846" s="288"/>
      <c r="C846" s="21"/>
      <c r="D846" s="21"/>
    </row>
    <row r="847">
      <c r="A847" s="1"/>
      <c r="B847" s="288"/>
      <c r="C847" s="21"/>
      <c r="D847" s="21"/>
    </row>
    <row r="848">
      <c r="A848" s="1"/>
      <c r="B848" s="288"/>
      <c r="C848" s="21"/>
      <c r="D848" s="21"/>
    </row>
    <row r="849">
      <c r="A849" s="1"/>
      <c r="B849" s="288"/>
      <c r="C849" s="21"/>
      <c r="D849" s="21"/>
    </row>
    <row r="850">
      <c r="A850" s="1"/>
      <c r="B850" s="288"/>
      <c r="C850" s="21"/>
      <c r="D850" s="21"/>
    </row>
    <row r="851">
      <c r="A851" s="1"/>
      <c r="B851" s="288"/>
      <c r="C851" s="21"/>
      <c r="D851" s="21"/>
    </row>
    <row r="852">
      <c r="A852" s="1"/>
      <c r="B852" s="288"/>
      <c r="C852" s="21"/>
      <c r="D852" s="21"/>
    </row>
    <row r="853">
      <c r="A853" s="1"/>
      <c r="B853" s="288"/>
      <c r="C853" s="21"/>
      <c r="D853" s="21"/>
    </row>
    <row r="854">
      <c r="A854" s="1"/>
      <c r="B854" s="288"/>
      <c r="C854" s="21"/>
      <c r="D854" s="21"/>
    </row>
    <row r="855">
      <c r="A855" s="1"/>
      <c r="B855" s="288"/>
      <c r="C855" s="21"/>
      <c r="D855" s="21"/>
    </row>
    <row r="856">
      <c r="A856" s="1"/>
      <c r="B856" s="288"/>
      <c r="C856" s="21"/>
      <c r="D856" s="21"/>
    </row>
    <row r="857">
      <c r="A857" s="1"/>
      <c r="B857" s="288"/>
      <c r="C857" s="21"/>
      <c r="D857" s="21"/>
    </row>
    <row r="858">
      <c r="A858" s="1"/>
      <c r="B858" s="288"/>
      <c r="C858" s="21"/>
      <c r="D858" s="21"/>
    </row>
    <row r="859">
      <c r="A859" s="1"/>
      <c r="B859" s="288"/>
      <c r="C859" s="21"/>
      <c r="D859" s="21"/>
    </row>
    <row r="860">
      <c r="A860" s="1"/>
      <c r="B860" s="288"/>
      <c r="C860" s="21"/>
      <c r="D860" s="21"/>
    </row>
    <row r="861">
      <c r="A861" s="1"/>
      <c r="B861" s="288"/>
      <c r="C861" s="21"/>
      <c r="D861" s="21"/>
    </row>
    <row r="862">
      <c r="A862" s="1"/>
      <c r="B862" s="288"/>
      <c r="C862" s="21"/>
      <c r="D862" s="21"/>
    </row>
    <row r="863">
      <c r="A863" s="1"/>
      <c r="B863" s="288"/>
      <c r="C863" s="21"/>
      <c r="D863" s="21"/>
    </row>
    <row r="864">
      <c r="A864" s="1"/>
      <c r="B864" s="288"/>
      <c r="C864" s="21"/>
      <c r="D864" s="21"/>
    </row>
    <row r="865">
      <c r="A865" s="1"/>
      <c r="B865" s="288"/>
      <c r="C865" s="21"/>
      <c r="D865" s="21"/>
    </row>
    <row r="866">
      <c r="A866" s="1"/>
      <c r="B866" s="288"/>
      <c r="C866" s="21"/>
      <c r="D866" s="21"/>
    </row>
    <row r="867">
      <c r="A867" s="1"/>
      <c r="B867" s="288"/>
      <c r="C867" s="21"/>
      <c r="D867" s="21"/>
    </row>
    <row r="868">
      <c r="A868" s="1"/>
      <c r="B868" s="288"/>
      <c r="C868" s="21"/>
      <c r="D868" s="21"/>
    </row>
    <row r="869">
      <c r="A869" s="1"/>
      <c r="B869" s="288"/>
      <c r="C869" s="21"/>
      <c r="D869" s="21"/>
    </row>
    <row r="870">
      <c r="A870" s="1"/>
      <c r="B870" s="288"/>
      <c r="C870" s="21"/>
      <c r="D870" s="21"/>
    </row>
    <row r="871">
      <c r="A871" s="1"/>
      <c r="B871" s="288"/>
      <c r="C871" s="21"/>
      <c r="D871" s="21"/>
    </row>
    <row r="872">
      <c r="A872" s="1"/>
      <c r="B872" s="288"/>
      <c r="C872" s="21"/>
      <c r="D872" s="21"/>
    </row>
    <row r="873">
      <c r="A873" s="1"/>
      <c r="B873" s="288"/>
      <c r="C873" s="21"/>
      <c r="D873" s="21"/>
    </row>
    <row r="874">
      <c r="A874" s="1"/>
      <c r="B874" s="288"/>
      <c r="C874" s="21"/>
      <c r="D874" s="21"/>
    </row>
    <row r="875">
      <c r="A875" s="1"/>
      <c r="B875" s="288"/>
      <c r="C875" s="21"/>
      <c r="D875" s="21"/>
    </row>
    <row r="876">
      <c r="A876" s="1"/>
      <c r="B876" s="288"/>
      <c r="C876" s="21"/>
      <c r="D876" s="21"/>
    </row>
    <row r="877">
      <c r="A877" s="1"/>
      <c r="B877" s="288"/>
      <c r="C877" s="21"/>
      <c r="D877" s="21"/>
    </row>
    <row r="878">
      <c r="A878" s="1"/>
      <c r="B878" s="288"/>
      <c r="C878" s="21"/>
      <c r="D878" s="21"/>
    </row>
    <row r="879">
      <c r="A879" s="1"/>
      <c r="B879" s="288"/>
      <c r="C879" s="21"/>
      <c r="D879" s="21"/>
    </row>
    <row r="880">
      <c r="A880" s="1"/>
      <c r="B880" s="288"/>
      <c r="C880" s="21"/>
      <c r="D880" s="21"/>
    </row>
    <row r="881">
      <c r="A881" s="1"/>
      <c r="B881" s="288"/>
      <c r="C881" s="21"/>
      <c r="D881" s="21"/>
    </row>
    <row r="882">
      <c r="A882" s="1"/>
      <c r="B882" s="288"/>
      <c r="C882" s="21"/>
      <c r="D882" s="21"/>
    </row>
    <row r="883">
      <c r="A883" s="1"/>
      <c r="B883" s="288"/>
      <c r="C883" s="21"/>
      <c r="D883" s="21"/>
    </row>
    <row r="884">
      <c r="A884" s="1"/>
      <c r="B884" s="288"/>
      <c r="C884" s="21"/>
      <c r="D884" s="21"/>
    </row>
    <row r="885">
      <c r="A885" s="1"/>
      <c r="B885" s="288"/>
      <c r="C885" s="21"/>
      <c r="D885" s="21"/>
    </row>
    <row r="886">
      <c r="A886" s="1"/>
      <c r="B886" s="288"/>
      <c r="C886" s="21"/>
      <c r="D886" s="21"/>
    </row>
    <row r="887">
      <c r="A887" s="1"/>
      <c r="B887" s="288"/>
      <c r="C887" s="21"/>
      <c r="D887" s="21"/>
    </row>
    <row r="888">
      <c r="A888" s="1"/>
      <c r="B888" s="288"/>
      <c r="C888" s="21"/>
      <c r="D888" s="21"/>
    </row>
    <row r="889">
      <c r="A889" s="1"/>
      <c r="B889" s="288"/>
      <c r="C889" s="21"/>
      <c r="D889" s="21"/>
    </row>
    <row r="890">
      <c r="A890" s="1"/>
      <c r="B890" s="288"/>
      <c r="C890" s="21"/>
      <c r="D890" s="21"/>
    </row>
    <row r="891">
      <c r="A891" s="1"/>
      <c r="B891" s="288"/>
      <c r="C891" s="21"/>
      <c r="D891" s="21"/>
    </row>
    <row r="892">
      <c r="A892" s="1"/>
      <c r="B892" s="288"/>
      <c r="C892" s="21"/>
      <c r="D892" s="21"/>
    </row>
    <row r="893">
      <c r="A893" s="1"/>
      <c r="B893" s="288"/>
      <c r="C893" s="21"/>
      <c r="D893" s="21"/>
    </row>
    <row r="894">
      <c r="A894" s="1"/>
      <c r="B894" s="288"/>
      <c r="C894" s="21"/>
      <c r="D894" s="21"/>
    </row>
    <row r="895">
      <c r="A895" s="1"/>
      <c r="B895" s="288"/>
      <c r="C895" s="21"/>
      <c r="D895" s="21"/>
    </row>
    <row r="896">
      <c r="A896" s="1"/>
      <c r="B896" s="288"/>
      <c r="C896" s="21"/>
      <c r="D896" s="21"/>
    </row>
    <row r="897">
      <c r="A897" s="1"/>
      <c r="B897" s="288"/>
      <c r="C897" s="21"/>
      <c r="D897" s="21"/>
    </row>
    <row r="898">
      <c r="A898" s="1"/>
      <c r="B898" s="288"/>
      <c r="C898" s="21"/>
      <c r="D898" s="21"/>
    </row>
    <row r="899">
      <c r="A899" s="1"/>
      <c r="B899" s="288"/>
      <c r="C899" s="21"/>
      <c r="D899" s="21"/>
    </row>
    <row r="900">
      <c r="A900" s="1"/>
      <c r="B900" s="288"/>
      <c r="C900" s="21"/>
      <c r="D900" s="21"/>
    </row>
    <row r="901">
      <c r="A901" s="1"/>
      <c r="B901" s="288"/>
      <c r="C901" s="21"/>
      <c r="D901" s="21"/>
    </row>
    <row r="902">
      <c r="A902" s="1"/>
      <c r="B902" s="288"/>
      <c r="C902" s="21"/>
      <c r="D902" s="21"/>
    </row>
    <row r="903">
      <c r="A903" s="1"/>
      <c r="B903" s="288"/>
      <c r="C903" s="21"/>
      <c r="D903" s="21"/>
    </row>
    <row r="904">
      <c r="A904" s="1"/>
      <c r="B904" s="288"/>
      <c r="C904" s="21"/>
      <c r="D904" s="21"/>
    </row>
    <row r="905">
      <c r="A905" s="1"/>
      <c r="B905" s="288"/>
      <c r="C905" s="21"/>
      <c r="D905" s="21"/>
    </row>
    <row r="906">
      <c r="A906" s="1"/>
      <c r="B906" s="288"/>
      <c r="C906" s="21"/>
      <c r="D906" s="21"/>
    </row>
    <row r="907">
      <c r="A907" s="1"/>
      <c r="B907" s="288"/>
      <c r="C907" s="21"/>
      <c r="D907" s="21"/>
    </row>
    <row r="908">
      <c r="A908" s="1"/>
      <c r="B908" s="288"/>
      <c r="C908" s="21"/>
      <c r="D908" s="21"/>
    </row>
    <row r="909">
      <c r="A909" s="1"/>
      <c r="B909" s="288"/>
      <c r="C909" s="21"/>
      <c r="D909" s="21"/>
    </row>
    <row r="910">
      <c r="A910" s="1"/>
      <c r="B910" s="288"/>
      <c r="C910" s="21"/>
      <c r="D910" s="21"/>
    </row>
    <row r="911">
      <c r="A911" s="1"/>
      <c r="B911" s="288"/>
      <c r="C911" s="21"/>
      <c r="D911" s="21"/>
    </row>
    <row r="912">
      <c r="A912" s="1"/>
      <c r="B912" s="288"/>
      <c r="C912" s="21"/>
      <c r="D912" s="21"/>
    </row>
    <row r="913">
      <c r="A913" s="1"/>
      <c r="B913" s="288"/>
      <c r="C913" s="21"/>
      <c r="D913" s="21"/>
    </row>
    <row r="914">
      <c r="A914" s="1"/>
      <c r="B914" s="288"/>
      <c r="C914" s="21"/>
      <c r="D914" s="21"/>
    </row>
    <row r="915">
      <c r="A915" s="1"/>
      <c r="B915" s="288"/>
      <c r="C915" s="21"/>
      <c r="D915" s="21"/>
    </row>
    <row r="916">
      <c r="A916" s="1"/>
      <c r="B916" s="288"/>
      <c r="C916" s="21"/>
      <c r="D916" s="21"/>
    </row>
    <row r="917">
      <c r="A917" s="1"/>
      <c r="B917" s="288"/>
      <c r="C917" s="21"/>
      <c r="D917" s="21"/>
    </row>
    <row r="918">
      <c r="A918" s="1"/>
      <c r="B918" s="288"/>
      <c r="C918" s="21"/>
      <c r="D918" s="21"/>
    </row>
    <row r="919">
      <c r="A919" s="1"/>
      <c r="B919" s="288"/>
      <c r="C919" s="21"/>
      <c r="D919" s="21"/>
    </row>
    <row r="920">
      <c r="A920" s="1"/>
      <c r="B920" s="288"/>
      <c r="C920" s="21"/>
      <c r="D920" s="21"/>
    </row>
    <row r="921">
      <c r="A921" s="1"/>
      <c r="B921" s="288"/>
      <c r="C921" s="21"/>
      <c r="D921" s="21"/>
    </row>
    <row r="922">
      <c r="A922" s="1"/>
      <c r="B922" s="288"/>
      <c r="C922" s="21"/>
      <c r="D922" s="21"/>
    </row>
    <row r="923">
      <c r="A923" s="1"/>
      <c r="B923" s="288"/>
      <c r="C923" s="21"/>
      <c r="D923" s="21"/>
    </row>
    <row r="924">
      <c r="A924" s="1"/>
      <c r="B924" s="288"/>
      <c r="C924" s="21"/>
      <c r="D924" s="21"/>
    </row>
    <row r="925">
      <c r="A925" s="1"/>
      <c r="B925" s="288"/>
      <c r="C925" s="21"/>
      <c r="D925" s="21"/>
    </row>
    <row r="926">
      <c r="A926" s="1"/>
      <c r="B926" s="288"/>
      <c r="C926" s="21"/>
      <c r="D926" s="21"/>
    </row>
    <row r="927">
      <c r="A927" s="1"/>
      <c r="B927" s="288"/>
      <c r="C927" s="21"/>
      <c r="D927" s="21"/>
    </row>
    <row r="928">
      <c r="A928" s="1"/>
      <c r="B928" s="288"/>
      <c r="C928" s="21"/>
      <c r="D928" s="21"/>
    </row>
    <row r="929">
      <c r="A929" s="1"/>
      <c r="B929" s="288"/>
      <c r="C929" s="21"/>
      <c r="D929" s="21"/>
    </row>
    <row r="930">
      <c r="A930" s="1"/>
      <c r="B930" s="288"/>
      <c r="C930" s="21"/>
      <c r="D930" s="21"/>
    </row>
    <row r="931">
      <c r="A931" s="1"/>
      <c r="B931" s="288"/>
      <c r="C931" s="21"/>
      <c r="D931" s="21"/>
    </row>
    <row r="932">
      <c r="A932" s="1"/>
      <c r="B932" s="288"/>
      <c r="C932" s="21"/>
      <c r="D932" s="21"/>
    </row>
    <row r="933">
      <c r="A933" s="1"/>
      <c r="B933" s="288"/>
      <c r="C933" s="21"/>
      <c r="D933" s="21"/>
    </row>
    <row r="934">
      <c r="A934" s="1"/>
      <c r="B934" s="288"/>
      <c r="C934" s="21"/>
      <c r="D934" s="21"/>
    </row>
    <row r="935">
      <c r="A935" s="1"/>
      <c r="B935" s="288"/>
      <c r="C935" s="21"/>
      <c r="D935" s="21"/>
    </row>
    <row r="936">
      <c r="A936" s="1"/>
      <c r="B936" s="288"/>
      <c r="C936" s="21"/>
      <c r="D936" s="21"/>
    </row>
    <row r="937">
      <c r="A937" s="1"/>
      <c r="B937" s="288"/>
      <c r="C937" s="21"/>
      <c r="D937" s="21"/>
    </row>
    <row r="938">
      <c r="A938" s="1"/>
      <c r="B938" s="288"/>
      <c r="C938" s="21"/>
      <c r="D938" s="21"/>
    </row>
    <row r="939">
      <c r="A939" s="1"/>
      <c r="B939" s="288"/>
      <c r="C939" s="21"/>
      <c r="D939" s="21"/>
    </row>
    <row r="940">
      <c r="A940" s="1"/>
      <c r="B940" s="288"/>
      <c r="C940" s="21"/>
      <c r="D940" s="21"/>
    </row>
    <row r="941">
      <c r="A941" s="1"/>
      <c r="B941" s="288"/>
      <c r="C941" s="21"/>
      <c r="D941" s="21"/>
    </row>
    <row r="942">
      <c r="A942" s="1"/>
      <c r="B942" s="288"/>
      <c r="C942" s="21"/>
      <c r="D942" s="21"/>
    </row>
    <row r="943">
      <c r="A943" s="1"/>
      <c r="B943" s="288"/>
      <c r="C943" s="21"/>
      <c r="D943" s="21"/>
    </row>
    <row r="944">
      <c r="A944" s="1"/>
      <c r="B944" s="288"/>
      <c r="C944" s="21"/>
      <c r="D944" s="21"/>
    </row>
    <row r="945">
      <c r="A945" s="1"/>
      <c r="B945" s="288"/>
      <c r="C945" s="21"/>
      <c r="D945" s="21"/>
    </row>
    <row r="946">
      <c r="A946" s="1"/>
      <c r="B946" s="288"/>
      <c r="C946" s="21"/>
      <c r="D946" s="21"/>
    </row>
    <row r="947">
      <c r="A947" s="1"/>
      <c r="B947" s="288"/>
      <c r="C947" s="21"/>
      <c r="D947" s="21"/>
    </row>
    <row r="948">
      <c r="A948" s="1"/>
      <c r="B948" s="288"/>
      <c r="C948" s="21"/>
      <c r="D948" s="21"/>
    </row>
    <row r="949">
      <c r="A949" s="1"/>
      <c r="B949" s="288"/>
      <c r="C949" s="21"/>
      <c r="D949" s="21"/>
    </row>
    <row r="950">
      <c r="A950" s="1"/>
      <c r="B950" s="288"/>
      <c r="C950" s="21"/>
      <c r="D950" s="21"/>
    </row>
    <row r="951">
      <c r="A951" s="1"/>
      <c r="B951" s="288"/>
      <c r="C951" s="21"/>
      <c r="D951" s="21"/>
    </row>
    <row r="952">
      <c r="A952" s="1"/>
      <c r="B952" s="288"/>
      <c r="C952" s="21"/>
      <c r="D952" s="21"/>
    </row>
    <row r="953">
      <c r="A953" s="1"/>
      <c r="B953" s="288"/>
      <c r="C953" s="21"/>
      <c r="D953" s="21"/>
    </row>
    <row r="954">
      <c r="A954" s="1"/>
      <c r="B954" s="288"/>
      <c r="C954" s="21"/>
      <c r="D954" s="21"/>
    </row>
    <row r="955">
      <c r="A955" s="1"/>
      <c r="B955" s="288"/>
      <c r="C955" s="21"/>
      <c r="D955" s="21"/>
    </row>
    <row r="956">
      <c r="A956" s="1"/>
      <c r="B956" s="288"/>
      <c r="C956" s="21"/>
      <c r="D956" s="21"/>
    </row>
    <row r="957">
      <c r="A957" s="1"/>
      <c r="B957" s="288"/>
      <c r="C957" s="21"/>
      <c r="D957" s="21"/>
    </row>
    <row r="958">
      <c r="A958" s="1"/>
      <c r="B958" s="288"/>
      <c r="C958" s="21"/>
      <c r="D958" s="21"/>
    </row>
    <row r="959">
      <c r="A959" s="1"/>
      <c r="B959" s="288"/>
      <c r="C959" s="21"/>
      <c r="D959" s="21"/>
    </row>
    <row r="960">
      <c r="A960" s="1"/>
      <c r="B960" s="288"/>
      <c r="C960" s="21"/>
      <c r="D960" s="21"/>
    </row>
    <row r="961">
      <c r="A961" s="1"/>
      <c r="B961" s="288"/>
      <c r="C961" s="21"/>
      <c r="D961" s="21"/>
    </row>
    <row r="962">
      <c r="A962" s="1"/>
      <c r="B962" s="288"/>
      <c r="C962" s="21"/>
      <c r="D962" s="21"/>
    </row>
    <row r="963">
      <c r="A963" s="1"/>
      <c r="B963" s="288"/>
      <c r="C963" s="21"/>
      <c r="D963" s="21"/>
    </row>
    <row r="964">
      <c r="A964" s="1"/>
      <c r="B964" s="288"/>
      <c r="C964" s="21"/>
      <c r="D964" s="21"/>
    </row>
    <row r="965">
      <c r="A965" s="1"/>
      <c r="B965" s="288"/>
      <c r="C965" s="21"/>
      <c r="D965" s="21"/>
    </row>
    <row r="966">
      <c r="A966" s="1"/>
      <c r="B966" s="288"/>
      <c r="C966" s="21"/>
      <c r="D966" s="21"/>
    </row>
    <row r="967">
      <c r="A967" s="1"/>
      <c r="B967" s="288"/>
      <c r="C967" s="21"/>
      <c r="D967" s="21"/>
    </row>
    <row r="968">
      <c r="A968" s="1"/>
      <c r="B968" s="288"/>
      <c r="C968" s="21"/>
      <c r="D968" s="21"/>
    </row>
    <row r="969">
      <c r="A969" s="1"/>
      <c r="B969" s="288"/>
      <c r="C969" s="21"/>
      <c r="D969" s="21"/>
    </row>
    <row r="970">
      <c r="A970" s="1"/>
      <c r="B970" s="288"/>
      <c r="C970" s="21"/>
      <c r="D970" s="21"/>
    </row>
    <row r="971">
      <c r="A971" s="1"/>
      <c r="B971" s="288"/>
      <c r="C971" s="21"/>
      <c r="D971" s="21"/>
    </row>
    <row r="972">
      <c r="A972" s="1"/>
      <c r="B972" s="288"/>
      <c r="C972" s="21"/>
      <c r="D972" s="21"/>
    </row>
    <row r="973">
      <c r="A973" s="1"/>
      <c r="B973" s="288"/>
      <c r="C973" s="21"/>
      <c r="D973" s="21"/>
    </row>
    <row r="974">
      <c r="A974" s="1"/>
      <c r="B974" s="288"/>
      <c r="C974" s="21"/>
      <c r="D974" s="21"/>
    </row>
    <row r="975">
      <c r="A975" s="1"/>
      <c r="B975" s="288"/>
      <c r="C975" s="21"/>
      <c r="D975" s="21"/>
    </row>
    <row r="976">
      <c r="A976" s="1"/>
      <c r="B976" s="288"/>
      <c r="C976" s="21"/>
      <c r="D976" s="21"/>
    </row>
    <row r="977">
      <c r="A977" s="1"/>
      <c r="B977" s="288"/>
      <c r="C977" s="21"/>
      <c r="D977" s="21"/>
    </row>
    <row r="978">
      <c r="A978" s="1"/>
      <c r="B978" s="288"/>
      <c r="C978" s="21"/>
      <c r="D978" s="21"/>
    </row>
    <row r="979">
      <c r="A979" s="1"/>
      <c r="B979" s="288"/>
      <c r="C979" s="21"/>
      <c r="D979" s="21"/>
    </row>
    <row r="980">
      <c r="A980" s="1"/>
      <c r="B980" s="288"/>
      <c r="C980" s="21"/>
      <c r="D980" s="21"/>
    </row>
    <row r="981">
      <c r="A981" s="1"/>
      <c r="B981" s="288"/>
      <c r="C981" s="21"/>
      <c r="D981" s="21"/>
    </row>
    <row r="982">
      <c r="A982" s="1"/>
      <c r="B982" s="288"/>
      <c r="C982" s="21"/>
      <c r="D982" s="21"/>
    </row>
    <row r="983">
      <c r="A983" s="1"/>
      <c r="B983" s="288"/>
      <c r="C983" s="21"/>
      <c r="D983" s="21"/>
    </row>
    <row r="984">
      <c r="A984" s="1"/>
      <c r="B984" s="288"/>
      <c r="C984" s="21"/>
      <c r="D984" s="21"/>
    </row>
    <row r="985">
      <c r="A985" s="1"/>
      <c r="B985" s="288"/>
      <c r="C985" s="21"/>
      <c r="D985" s="21"/>
    </row>
    <row r="986">
      <c r="A986" s="1"/>
      <c r="B986" s="288"/>
      <c r="C986" s="21"/>
      <c r="D986" s="21"/>
    </row>
    <row r="987">
      <c r="A987" s="1"/>
      <c r="B987" s="288"/>
      <c r="C987" s="21"/>
      <c r="D987" s="21"/>
    </row>
    <row r="988">
      <c r="A988" s="1"/>
      <c r="B988" s="288"/>
      <c r="C988" s="21"/>
      <c r="D988" s="21"/>
    </row>
    <row r="989">
      <c r="A989" s="1"/>
      <c r="B989" s="288"/>
      <c r="C989" s="21"/>
      <c r="D989" s="21"/>
    </row>
    <row r="990">
      <c r="A990" s="1"/>
      <c r="B990" s="288"/>
      <c r="C990" s="21"/>
      <c r="D990" s="21"/>
    </row>
    <row r="991">
      <c r="A991" s="1"/>
      <c r="B991" s="288"/>
      <c r="C991" s="21"/>
      <c r="D991" s="21"/>
    </row>
    <row r="992">
      <c r="A992" s="1"/>
      <c r="B992" s="288"/>
      <c r="C992" s="21"/>
      <c r="D992" s="21"/>
    </row>
    <row r="993">
      <c r="A993" s="1"/>
      <c r="B993" s="288"/>
      <c r="C993" s="21"/>
      <c r="D993" s="21"/>
    </row>
    <row r="994">
      <c r="A994" s="1"/>
      <c r="B994" s="288"/>
      <c r="C994" s="21"/>
      <c r="D994" s="21"/>
    </row>
    <row r="995">
      <c r="A995" s="1"/>
      <c r="B995" s="288"/>
      <c r="C995" s="21"/>
      <c r="D995" s="21"/>
    </row>
  </sheetData>
  <printOptions gridLines="1" horizontalCentered="1"/>
  <pageMargins bottom="0.75" footer="0.0" header="0.0" left="0.7" right="0.7" top="0.75"/>
  <pageSetup fitToHeight="0" cellComments="atEnd" orientation="portrait" pageOrder="overThenDown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9.63"/>
    <col customWidth="1" min="2" max="2" width="30.63"/>
    <col customWidth="1" min="3" max="3" width="36.13"/>
    <col customWidth="1" min="4" max="4" width="18.38"/>
    <col customWidth="1" min="5" max="5" width="19.0"/>
    <col customWidth="1" min="9" max="14" width="2.88"/>
  </cols>
  <sheetData>
    <row r="1">
      <c r="A1" s="289" t="s">
        <v>234</v>
      </c>
      <c r="B1" s="290" t="s">
        <v>18</v>
      </c>
      <c r="C1" s="291" t="s">
        <v>235</v>
      </c>
      <c r="D1" s="292" t="s">
        <v>236</v>
      </c>
      <c r="E1" s="292" t="s">
        <v>237</v>
      </c>
    </row>
    <row r="2">
      <c r="A2" s="293" t="s">
        <v>238</v>
      </c>
      <c r="B2" s="294"/>
      <c r="C2" s="294"/>
      <c r="D2" s="15"/>
    </row>
    <row r="3">
      <c r="A3" s="295">
        <v>1.0</v>
      </c>
      <c r="B3" s="218" t="s">
        <v>36</v>
      </c>
      <c r="C3" s="296" t="s">
        <v>239</v>
      </c>
      <c r="D3" s="297" t="s">
        <v>240</v>
      </c>
      <c r="E3" s="280" t="s">
        <v>241</v>
      </c>
    </row>
    <row r="4">
      <c r="A4" s="218">
        <f t="shared" ref="A4:A29" si="1">sum(A3+1)</f>
        <v>2</v>
      </c>
      <c r="B4" s="218" t="s">
        <v>129</v>
      </c>
      <c r="C4" s="296" t="s">
        <v>242</v>
      </c>
      <c r="D4" s="297" t="s">
        <v>240</v>
      </c>
      <c r="E4" s="280" t="s">
        <v>241</v>
      </c>
      <c r="G4" s="298"/>
    </row>
    <row r="5">
      <c r="A5" s="218">
        <f t="shared" si="1"/>
        <v>3</v>
      </c>
      <c r="B5" s="218" t="s">
        <v>128</v>
      </c>
      <c r="C5" s="299"/>
      <c r="D5" s="297" t="s">
        <v>240</v>
      </c>
      <c r="E5" s="280" t="s">
        <v>241</v>
      </c>
      <c r="G5" s="300"/>
      <c r="I5" s="280"/>
      <c r="J5" s="280"/>
      <c r="K5" s="280"/>
      <c r="L5" s="280"/>
      <c r="M5" s="280"/>
      <c r="N5" s="280"/>
    </row>
    <row r="6">
      <c r="A6" s="218">
        <f t="shared" si="1"/>
        <v>4</v>
      </c>
      <c r="B6" s="218" t="s">
        <v>138</v>
      </c>
      <c r="C6" s="299"/>
      <c r="D6" s="301"/>
      <c r="E6" s="302" t="s">
        <v>243</v>
      </c>
      <c r="H6" s="300"/>
    </row>
    <row r="7">
      <c r="A7" s="218">
        <f t="shared" si="1"/>
        <v>5</v>
      </c>
      <c r="B7" s="218" t="s">
        <v>45</v>
      </c>
      <c r="C7" s="299"/>
      <c r="D7" s="301"/>
      <c r="E7" s="280" t="s">
        <v>241</v>
      </c>
      <c r="F7" s="59"/>
      <c r="H7" s="300"/>
    </row>
    <row r="8">
      <c r="A8" s="218">
        <f t="shared" si="1"/>
        <v>6</v>
      </c>
      <c r="B8" s="218" t="s">
        <v>51</v>
      </c>
      <c r="C8" s="296" t="s">
        <v>244</v>
      </c>
      <c r="D8" s="297" t="s">
        <v>240</v>
      </c>
      <c r="E8" s="302" t="s">
        <v>245</v>
      </c>
      <c r="H8" s="300"/>
    </row>
    <row r="9">
      <c r="A9" s="218">
        <f t="shared" si="1"/>
        <v>7</v>
      </c>
      <c r="B9" s="218" t="s">
        <v>204</v>
      </c>
      <c r="C9" s="299"/>
      <c r="D9" s="297" t="s">
        <v>240</v>
      </c>
      <c r="E9" s="280" t="s">
        <v>246</v>
      </c>
      <c r="H9" s="300"/>
    </row>
    <row r="10">
      <c r="A10" s="218">
        <f t="shared" si="1"/>
        <v>8</v>
      </c>
      <c r="B10" s="218" t="s">
        <v>152</v>
      </c>
      <c r="C10" s="296" t="s">
        <v>247</v>
      </c>
      <c r="D10" s="297" t="s">
        <v>240</v>
      </c>
      <c r="E10" s="280" t="s">
        <v>241</v>
      </c>
      <c r="H10" s="300"/>
    </row>
    <row r="11">
      <c r="A11" s="218">
        <f t="shared" si="1"/>
        <v>9</v>
      </c>
      <c r="B11" s="218" t="s">
        <v>158</v>
      </c>
      <c r="C11" s="296" t="s">
        <v>248</v>
      </c>
      <c r="D11" s="297" t="s">
        <v>240</v>
      </c>
      <c r="H11" s="300"/>
    </row>
    <row r="12">
      <c r="A12" s="218">
        <f t="shared" si="1"/>
        <v>10</v>
      </c>
      <c r="B12" s="218" t="s">
        <v>207</v>
      </c>
      <c r="C12" s="299"/>
      <c r="D12" s="301"/>
      <c r="H12" s="300"/>
    </row>
    <row r="13">
      <c r="A13" s="218">
        <f t="shared" si="1"/>
        <v>11</v>
      </c>
      <c r="B13" s="218" t="s">
        <v>162</v>
      </c>
      <c r="C13" s="296" t="s">
        <v>249</v>
      </c>
      <c r="D13" s="297" t="s">
        <v>240</v>
      </c>
      <c r="H13" s="300"/>
    </row>
    <row r="14">
      <c r="A14" s="218">
        <f t="shared" si="1"/>
        <v>12</v>
      </c>
      <c r="B14" s="218" t="s">
        <v>166</v>
      </c>
      <c r="C14" s="299"/>
      <c r="D14" s="301"/>
      <c r="H14" s="300"/>
    </row>
    <row r="15">
      <c r="A15" s="218">
        <f t="shared" si="1"/>
        <v>13</v>
      </c>
      <c r="B15" s="218" t="s">
        <v>61</v>
      </c>
      <c r="C15" s="299"/>
      <c r="D15" s="301"/>
      <c r="E15" s="280" t="s">
        <v>241</v>
      </c>
      <c r="H15" s="300"/>
    </row>
    <row r="16">
      <c r="A16" s="218">
        <f t="shared" si="1"/>
        <v>14</v>
      </c>
      <c r="B16" s="218" t="s">
        <v>171</v>
      </c>
      <c r="C16" s="296" t="s">
        <v>250</v>
      </c>
      <c r="D16" s="297" t="s">
        <v>240</v>
      </c>
      <c r="E16" s="303" t="s">
        <v>251</v>
      </c>
      <c r="H16" s="300"/>
    </row>
    <row r="17">
      <c r="A17" s="218">
        <f t="shared" si="1"/>
        <v>15</v>
      </c>
      <c r="B17" s="218" t="s">
        <v>67</v>
      </c>
      <c r="C17" s="299"/>
      <c r="D17" s="297" t="s">
        <v>240</v>
      </c>
      <c r="E17" s="280" t="s">
        <v>241</v>
      </c>
      <c r="H17" s="300"/>
    </row>
    <row r="18">
      <c r="A18" s="218">
        <f t="shared" si="1"/>
        <v>16</v>
      </c>
      <c r="B18" s="218" t="s">
        <v>73</v>
      </c>
      <c r="C18" s="296" t="s">
        <v>252</v>
      </c>
      <c r="D18" s="297" t="s">
        <v>240</v>
      </c>
      <c r="E18" s="280" t="s">
        <v>241</v>
      </c>
      <c r="H18" s="300"/>
    </row>
    <row r="19">
      <c r="A19" s="218">
        <f t="shared" si="1"/>
        <v>17</v>
      </c>
      <c r="B19" s="218" t="s">
        <v>175</v>
      </c>
      <c r="C19" s="296" t="s">
        <v>253</v>
      </c>
      <c r="D19" s="297" t="s">
        <v>240</v>
      </c>
      <c r="E19" s="280" t="s">
        <v>254</v>
      </c>
      <c r="H19" s="300"/>
    </row>
    <row r="20">
      <c r="A20" s="218">
        <f t="shared" si="1"/>
        <v>18</v>
      </c>
      <c r="B20" s="218" t="s">
        <v>180</v>
      </c>
      <c r="C20" s="296" t="s">
        <v>255</v>
      </c>
      <c r="D20" s="297" t="s">
        <v>240</v>
      </c>
      <c r="E20" s="280" t="s">
        <v>241</v>
      </c>
      <c r="H20" s="300"/>
    </row>
    <row r="21">
      <c r="A21" s="218">
        <f t="shared" si="1"/>
        <v>19</v>
      </c>
      <c r="B21" s="218" t="s">
        <v>183</v>
      </c>
      <c r="C21" s="296" t="s">
        <v>256</v>
      </c>
      <c r="D21" s="297" t="s">
        <v>240</v>
      </c>
      <c r="E21" s="302" t="s">
        <v>257</v>
      </c>
      <c r="H21" s="300"/>
    </row>
    <row r="22">
      <c r="A22" s="218">
        <f t="shared" si="1"/>
        <v>20</v>
      </c>
      <c r="B22" s="218" t="s">
        <v>80</v>
      </c>
      <c r="C22" s="299"/>
      <c r="D22" s="297" t="s">
        <v>240</v>
      </c>
      <c r="E22" s="280" t="s">
        <v>241</v>
      </c>
      <c r="H22" s="300"/>
    </row>
    <row r="23">
      <c r="A23" s="218">
        <f t="shared" si="1"/>
        <v>21</v>
      </c>
      <c r="B23" s="218" t="s">
        <v>84</v>
      </c>
      <c r="C23" s="296" t="s">
        <v>258</v>
      </c>
      <c r="D23" s="297" t="s">
        <v>240</v>
      </c>
      <c r="H23" s="304"/>
    </row>
    <row r="24">
      <c r="A24" s="218">
        <f t="shared" si="1"/>
        <v>22</v>
      </c>
      <c r="B24" s="223" t="s">
        <v>203</v>
      </c>
      <c r="C24" s="296" t="s">
        <v>259</v>
      </c>
      <c r="D24" s="297" t="s">
        <v>240</v>
      </c>
      <c r="E24" s="303" t="s">
        <v>260</v>
      </c>
      <c r="H24" s="305"/>
    </row>
    <row r="25">
      <c r="A25" s="218">
        <f t="shared" si="1"/>
        <v>23</v>
      </c>
      <c r="B25" s="224" t="s">
        <v>89</v>
      </c>
      <c r="C25" s="296" t="s">
        <v>261</v>
      </c>
      <c r="D25" s="297" t="s">
        <v>240</v>
      </c>
      <c r="H25" s="305"/>
    </row>
    <row r="26">
      <c r="A26" s="218">
        <f t="shared" si="1"/>
        <v>24</v>
      </c>
      <c r="B26" s="224" t="s">
        <v>192</v>
      </c>
      <c r="C26" s="296" t="s">
        <v>262</v>
      </c>
      <c r="D26" s="297" t="s">
        <v>240</v>
      </c>
      <c r="E26" s="280" t="s">
        <v>263</v>
      </c>
      <c r="H26" s="305"/>
    </row>
    <row r="27">
      <c r="A27" s="218">
        <f t="shared" si="1"/>
        <v>25</v>
      </c>
      <c r="B27" s="224" t="s">
        <v>94</v>
      </c>
      <c r="C27" s="296" t="s">
        <v>264</v>
      </c>
      <c r="D27" s="297" t="s">
        <v>240</v>
      </c>
      <c r="E27" s="280" t="s">
        <v>241</v>
      </c>
      <c r="H27" s="305"/>
    </row>
    <row r="28">
      <c r="A28" s="218">
        <f t="shared" si="1"/>
        <v>26</v>
      </c>
      <c r="B28" s="224" t="s">
        <v>120</v>
      </c>
      <c r="C28" s="296"/>
      <c r="D28" s="297" t="s">
        <v>240</v>
      </c>
    </row>
    <row r="29">
      <c r="A29" s="218">
        <f t="shared" si="1"/>
        <v>27</v>
      </c>
      <c r="B29" s="224" t="s">
        <v>265</v>
      </c>
      <c r="C29" s="296" t="s">
        <v>266</v>
      </c>
      <c r="D29" s="297" t="s">
        <v>240</v>
      </c>
      <c r="E29" s="280" t="s">
        <v>241</v>
      </c>
    </row>
    <row r="30">
      <c r="A30" s="293" t="s">
        <v>267</v>
      </c>
      <c r="B30" s="294"/>
      <c r="C30" s="294"/>
      <c r="D30" s="15"/>
    </row>
    <row r="31">
      <c r="A31" s="306">
        <v>29.0</v>
      </c>
      <c r="B31" s="224" t="s">
        <v>268</v>
      </c>
      <c r="C31" s="299"/>
      <c r="D31" s="301"/>
    </row>
    <row r="32">
      <c r="A32" s="218">
        <f t="shared" ref="A32:A35" si="2">sum(A31+1)</f>
        <v>30</v>
      </c>
      <c r="B32" s="224" t="s">
        <v>269</v>
      </c>
      <c r="C32" s="299"/>
      <c r="D32" s="301"/>
    </row>
    <row r="33">
      <c r="A33" s="218">
        <f t="shared" si="2"/>
        <v>31</v>
      </c>
      <c r="B33" s="224" t="s">
        <v>270</v>
      </c>
      <c r="C33" s="299"/>
      <c r="D33" s="301"/>
    </row>
    <row r="34">
      <c r="A34" s="218">
        <f t="shared" si="2"/>
        <v>32</v>
      </c>
      <c r="B34" s="224" t="s">
        <v>271</v>
      </c>
      <c r="C34" s="299"/>
      <c r="D34" s="301"/>
    </row>
    <row r="35">
      <c r="A35" s="218">
        <f t="shared" si="2"/>
        <v>33</v>
      </c>
      <c r="B35" s="224" t="s">
        <v>272</v>
      </c>
      <c r="C35" s="299"/>
      <c r="D35" s="301"/>
    </row>
    <row r="36">
      <c r="A36" s="293" t="s">
        <v>273</v>
      </c>
      <c r="B36" s="294"/>
      <c r="C36" s="294"/>
      <c r="D36" s="15"/>
    </row>
    <row r="37">
      <c r="A37" s="306">
        <v>34.0</v>
      </c>
      <c r="B37" s="224" t="s">
        <v>274</v>
      </c>
      <c r="C37" s="296" t="s">
        <v>275</v>
      </c>
      <c r="D37" s="297" t="s">
        <v>240</v>
      </c>
    </row>
    <row r="38">
      <c r="A38" s="218">
        <f t="shared" ref="A38:A40" si="3">sum(A37+1)</f>
        <v>35</v>
      </c>
      <c r="B38" s="224" t="s">
        <v>276</v>
      </c>
      <c r="C38" s="299"/>
      <c r="D38" s="301"/>
    </row>
    <row r="39">
      <c r="A39" s="218">
        <f t="shared" si="3"/>
        <v>36</v>
      </c>
      <c r="B39" s="224" t="s">
        <v>277</v>
      </c>
      <c r="C39" s="299"/>
      <c r="D39" s="301"/>
    </row>
    <row r="40">
      <c r="A40" s="218">
        <f t="shared" si="3"/>
        <v>37</v>
      </c>
      <c r="B40" s="224" t="s">
        <v>278</v>
      </c>
      <c r="C40" s="299"/>
      <c r="D40" s="301"/>
    </row>
    <row r="41">
      <c r="C41" s="307"/>
    </row>
    <row r="42">
      <c r="C42" s="307"/>
    </row>
    <row r="43">
      <c r="C43" s="307"/>
    </row>
    <row r="44">
      <c r="C44" s="307"/>
    </row>
    <row r="45">
      <c r="C45" s="307"/>
    </row>
    <row r="46">
      <c r="C46" s="307"/>
    </row>
    <row r="47">
      <c r="C47" s="307"/>
    </row>
    <row r="48">
      <c r="C48" s="307"/>
    </row>
    <row r="49">
      <c r="C49" s="307"/>
    </row>
    <row r="50">
      <c r="B50" s="295">
        <v>1.0</v>
      </c>
      <c r="C50" s="218" t="s">
        <v>36</v>
      </c>
      <c r="D50" s="296" t="s">
        <v>239</v>
      </c>
      <c r="E50" s="297" t="s">
        <v>240</v>
      </c>
    </row>
    <row r="51">
      <c r="B51" s="218">
        <f t="shared" ref="B51:B67" si="4">sum(B50+1)</f>
        <v>2</v>
      </c>
      <c r="C51" s="218" t="s">
        <v>211</v>
      </c>
      <c r="D51" s="296" t="s">
        <v>279</v>
      </c>
      <c r="E51" s="297" t="s">
        <v>240</v>
      </c>
    </row>
    <row r="52">
      <c r="B52" s="218">
        <f t="shared" si="4"/>
        <v>3</v>
      </c>
      <c r="C52" s="218" t="s">
        <v>129</v>
      </c>
      <c r="D52" s="296" t="s">
        <v>242</v>
      </c>
      <c r="E52" s="297" t="s">
        <v>240</v>
      </c>
    </row>
    <row r="53">
      <c r="B53" s="218">
        <f t="shared" si="4"/>
        <v>4</v>
      </c>
      <c r="C53" s="218" t="s">
        <v>51</v>
      </c>
      <c r="D53" s="296" t="s">
        <v>244</v>
      </c>
      <c r="E53" s="297" t="s">
        <v>240</v>
      </c>
    </row>
    <row r="54">
      <c r="B54" s="218">
        <f t="shared" si="4"/>
        <v>5</v>
      </c>
      <c r="C54" s="218" t="s">
        <v>152</v>
      </c>
      <c r="D54" s="296" t="s">
        <v>247</v>
      </c>
      <c r="E54" s="297" t="s">
        <v>240</v>
      </c>
    </row>
    <row r="55">
      <c r="B55" s="218">
        <f t="shared" si="4"/>
        <v>6</v>
      </c>
      <c r="C55" s="218" t="s">
        <v>158</v>
      </c>
      <c r="D55" s="296" t="s">
        <v>248</v>
      </c>
      <c r="E55" s="297" t="s">
        <v>240</v>
      </c>
    </row>
    <row r="56">
      <c r="B56" s="218">
        <f t="shared" si="4"/>
        <v>7</v>
      </c>
      <c r="C56" s="218" t="s">
        <v>171</v>
      </c>
      <c r="D56" s="299"/>
      <c r="E56" s="297" t="s">
        <v>240</v>
      </c>
    </row>
    <row r="57">
      <c r="B57" s="218">
        <f t="shared" si="4"/>
        <v>8</v>
      </c>
      <c r="C57" s="218" t="s">
        <v>67</v>
      </c>
      <c r="D57" s="299"/>
      <c r="E57" s="297" t="s">
        <v>240</v>
      </c>
    </row>
    <row r="58">
      <c r="B58" s="218">
        <f t="shared" si="4"/>
        <v>9</v>
      </c>
      <c r="C58" s="218" t="s">
        <v>73</v>
      </c>
      <c r="D58" s="296" t="s">
        <v>252</v>
      </c>
      <c r="E58" s="297" t="s">
        <v>240</v>
      </c>
    </row>
    <row r="59">
      <c r="B59" s="218">
        <f t="shared" si="4"/>
        <v>10</v>
      </c>
      <c r="C59" s="218" t="s">
        <v>175</v>
      </c>
      <c r="D59" s="296" t="s">
        <v>253</v>
      </c>
      <c r="E59" s="297" t="s">
        <v>240</v>
      </c>
    </row>
    <row r="60">
      <c r="B60" s="218">
        <f t="shared" si="4"/>
        <v>11</v>
      </c>
      <c r="C60" s="218" t="s">
        <v>180</v>
      </c>
      <c r="D60" s="296" t="s">
        <v>255</v>
      </c>
      <c r="E60" s="297" t="s">
        <v>240</v>
      </c>
    </row>
    <row r="61">
      <c r="B61" s="218">
        <f t="shared" si="4"/>
        <v>12</v>
      </c>
      <c r="C61" s="218" t="s">
        <v>183</v>
      </c>
      <c r="D61" s="296" t="s">
        <v>256</v>
      </c>
      <c r="E61" s="297" t="s">
        <v>240</v>
      </c>
    </row>
    <row r="62">
      <c r="B62" s="218">
        <f t="shared" si="4"/>
        <v>13</v>
      </c>
      <c r="C62" s="218" t="s">
        <v>80</v>
      </c>
      <c r="D62" s="299"/>
      <c r="E62" s="297" t="s">
        <v>240</v>
      </c>
    </row>
    <row r="63">
      <c r="B63" s="218">
        <f t="shared" si="4"/>
        <v>14</v>
      </c>
      <c r="C63" s="218" t="s">
        <v>84</v>
      </c>
      <c r="D63" s="296" t="s">
        <v>258</v>
      </c>
      <c r="E63" s="297" t="s">
        <v>240</v>
      </c>
    </row>
    <row r="64">
      <c r="B64" s="218">
        <f t="shared" si="4"/>
        <v>15</v>
      </c>
      <c r="C64" s="223" t="s">
        <v>203</v>
      </c>
      <c r="D64" s="296" t="s">
        <v>259</v>
      </c>
      <c r="E64" s="297" t="s">
        <v>240</v>
      </c>
    </row>
    <row r="65">
      <c r="B65" s="218">
        <f t="shared" si="4"/>
        <v>16</v>
      </c>
      <c r="C65" s="224" t="s">
        <v>192</v>
      </c>
      <c r="D65" s="296" t="s">
        <v>262</v>
      </c>
      <c r="E65" s="297" t="s">
        <v>240</v>
      </c>
    </row>
    <row r="66">
      <c r="B66" s="218">
        <f t="shared" si="4"/>
        <v>17</v>
      </c>
      <c r="C66" s="224" t="s">
        <v>94</v>
      </c>
      <c r="D66" s="296" t="s">
        <v>264</v>
      </c>
      <c r="E66" s="297" t="s">
        <v>240</v>
      </c>
    </row>
    <row r="67">
      <c r="B67" s="218">
        <f t="shared" si="4"/>
        <v>18</v>
      </c>
      <c r="C67" s="224" t="s">
        <v>265</v>
      </c>
      <c r="D67" s="296" t="s">
        <v>266</v>
      </c>
      <c r="E67" s="297" t="s">
        <v>240</v>
      </c>
    </row>
    <row r="68">
      <c r="C68" s="307"/>
    </row>
    <row r="69">
      <c r="C69" s="307"/>
    </row>
    <row r="70">
      <c r="C70" s="307"/>
    </row>
    <row r="71">
      <c r="C71" s="307"/>
    </row>
    <row r="72">
      <c r="C72" s="307"/>
    </row>
    <row r="73">
      <c r="C73" s="307"/>
    </row>
    <row r="74">
      <c r="C74" s="307"/>
    </row>
    <row r="75">
      <c r="C75" s="307"/>
    </row>
    <row r="76">
      <c r="C76" s="307"/>
    </row>
    <row r="77">
      <c r="C77" s="307"/>
    </row>
    <row r="78">
      <c r="C78" s="307"/>
    </row>
    <row r="79">
      <c r="C79" s="307"/>
    </row>
    <row r="80">
      <c r="C80" s="307"/>
    </row>
    <row r="81">
      <c r="C81" s="307"/>
    </row>
    <row r="82">
      <c r="C82" s="307"/>
    </row>
    <row r="83">
      <c r="C83" s="307"/>
    </row>
    <row r="84">
      <c r="C84" s="307"/>
    </row>
    <row r="85">
      <c r="C85" s="307"/>
    </row>
    <row r="86">
      <c r="C86" s="307"/>
    </row>
    <row r="87">
      <c r="C87" s="307"/>
    </row>
    <row r="88">
      <c r="C88" s="307"/>
    </row>
    <row r="89">
      <c r="C89" s="307"/>
    </row>
    <row r="90">
      <c r="C90" s="307"/>
    </row>
    <row r="91">
      <c r="C91" s="307"/>
    </row>
    <row r="92">
      <c r="C92" s="307"/>
    </row>
    <row r="93">
      <c r="C93" s="307"/>
    </row>
    <row r="94">
      <c r="C94" s="307"/>
    </row>
    <row r="95">
      <c r="C95" s="307"/>
    </row>
    <row r="96">
      <c r="C96" s="307"/>
    </row>
    <row r="97">
      <c r="C97" s="307"/>
    </row>
    <row r="98">
      <c r="C98" s="307"/>
    </row>
    <row r="99">
      <c r="C99" s="307"/>
    </row>
    <row r="100">
      <c r="C100" s="307"/>
    </row>
    <row r="101">
      <c r="C101" s="307"/>
    </row>
    <row r="102">
      <c r="C102" s="307"/>
    </row>
    <row r="103">
      <c r="C103" s="307"/>
    </row>
    <row r="104">
      <c r="C104" s="307"/>
    </row>
    <row r="105">
      <c r="C105" s="307"/>
    </row>
    <row r="106">
      <c r="C106" s="307"/>
    </row>
    <row r="107">
      <c r="C107" s="307"/>
    </row>
    <row r="108">
      <c r="C108" s="307"/>
    </row>
    <row r="109">
      <c r="C109" s="307"/>
    </row>
    <row r="110">
      <c r="C110" s="307"/>
    </row>
    <row r="111">
      <c r="C111" s="307"/>
    </row>
    <row r="112">
      <c r="C112" s="307"/>
    </row>
    <row r="113">
      <c r="C113" s="307"/>
    </row>
    <row r="114">
      <c r="C114" s="307"/>
    </row>
    <row r="115">
      <c r="C115" s="307"/>
    </row>
    <row r="116">
      <c r="C116" s="307"/>
    </row>
    <row r="117">
      <c r="C117" s="307"/>
    </row>
    <row r="118">
      <c r="C118" s="307"/>
    </row>
    <row r="119">
      <c r="C119" s="307"/>
    </row>
    <row r="120">
      <c r="C120" s="307"/>
    </row>
    <row r="121">
      <c r="C121" s="307"/>
    </row>
    <row r="122">
      <c r="C122" s="307"/>
    </row>
    <row r="123">
      <c r="C123" s="307"/>
    </row>
    <row r="124">
      <c r="C124" s="307"/>
    </row>
    <row r="125">
      <c r="C125" s="307"/>
    </row>
    <row r="126">
      <c r="C126" s="307"/>
    </row>
    <row r="127">
      <c r="C127" s="307"/>
    </row>
    <row r="128">
      <c r="C128" s="307"/>
    </row>
    <row r="129">
      <c r="C129" s="307"/>
    </row>
    <row r="130">
      <c r="C130" s="307"/>
    </row>
    <row r="131">
      <c r="C131" s="307"/>
    </row>
    <row r="132">
      <c r="C132" s="307"/>
    </row>
    <row r="133">
      <c r="C133" s="307"/>
    </row>
    <row r="134">
      <c r="C134" s="307"/>
    </row>
    <row r="135">
      <c r="C135" s="307"/>
    </row>
    <row r="136">
      <c r="C136" s="307"/>
    </row>
    <row r="137">
      <c r="C137" s="307"/>
    </row>
    <row r="138">
      <c r="C138" s="307"/>
    </row>
    <row r="139">
      <c r="C139" s="307"/>
    </row>
    <row r="140">
      <c r="C140" s="307"/>
    </row>
    <row r="141">
      <c r="C141" s="307"/>
    </row>
    <row r="142">
      <c r="C142" s="307"/>
    </row>
    <row r="143">
      <c r="C143" s="307"/>
    </row>
    <row r="144">
      <c r="C144" s="307"/>
    </row>
    <row r="145">
      <c r="C145" s="307"/>
    </row>
    <row r="146">
      <c r="C146" s="307"/>
    </row>
    <row r="147">
      <c r="C147" s="307"/>
    </row>
    <row r="148">
      <c r="C148" s="307"/>
    </row>
    <row r="149">
      <c r="C149" s="307"/>
    </row>
    <row r="150">
      <c r="C150" s="307"/>
    </row>
    <row r="151">
      <c r="C151" s="307"/>
    </row>
    <row r="152">
      <c r="C152" s="307"/>
    </row>
    <row r="153">
      <c r="C153" s="307"/>
    </row>
    <row r="154">
      <c r="C154" s="307"/>
    </row>
    <row r="155">
      <c r="C155" s="307"/>
    </row>
    <row r="156">
      <c r="C156" s="307"/>
    </row>
    <row r="157">
      <c r="C157" s="307"/>
    </row>
    <row r="158">
      <c r="C158" s="307"/>
    </row>
    <row r="159">
      <c r="C159" s="307"/>
    </row>
    <row r="160">
      <c r="C160" s="307"/>
    </row>
    <row r="161">
      <c r="C161" s="307"/>
    </row>
    <row r="162">
      <c r="C162" s="307"/>
    </row>
    <row r="163">
      <c r="C163" s="307"/>
    </row>
    <row r="164">
      <c r="C164" s="307"/>
    </row>
    <row r="165">
      <c r="C165" s="307"/>
    </row>
    <row r="166">
      <c r="C166" s="307"/>
    </row>
    <row r="167">
      <c r="C167" s="307"/>
    </row>
    <row r="168">
      <c r="C168" s="307"/>
    </row>
    <row r="169">
      <c r="C169" s="307"/>
    </row>
    <row r="170">
      <c r="C170" s="307"/>
    </row>
    <row r="171">
      <c r="C171" s="307"/>
    </row>
    <row r="172">
      <c r="C172" s="307"/>
    </row>
    <row r="173">
      <c r="C173" s="307"/>
    </row>
    <row r="174">
      <c r="C174" s="307"/>
    </row>
    <row r="175">
      <c r="C175" s="307"/>
    </row>
    <row r="176">
      <c r="C176" s="307"/>
    </row>
    <row r="177">
      <c r="C177" s="307"/>
    </row>
    <row r="178">
      <c r="C178" s="307"/>
    </row>
    <row r="179">
      <c r="C179" s="307"/>
    </row>
    <row r="180">
      <c r="C180" s="307"/>
    </row>
    <row r="181">
      <c r="C181" s="307"/>
    </row>
    <row r="182">
      <c r="C182" s="307"/>
    </row>
    <row r="183">
      <c r="C183" s="307"/>
    </row>
    <row r="184">
      <c r="C184" s="307"/>
    </row>
    <row r="185">
      <c r="C185" s="307"/>
    </row>
    <row r="186">
      <c r="C186" s="307"/>
    </row>
    <row r="187">
      <c r="C187" s="307"/>
    </row>
    <row r="188">
      <c r="C188" s="307"/>
    </row>
    <row r="189">
      <c r="C189" s="307"/>
    </row>
    <row r="190">
      <c r="C190" s="307"/>
    </row>
    <row r="191">
      <c r="C191" s="307"/>
    </row>
    <row r="192">
      <c r="C192" s="307"/>
    </row>
    <row r="193">
      <c r="C193" s="307"/>
    </row>
    <row r="194">
      <c r="C194" s="307"/>
    </row>
    <row r="195">
      <c r="C195" s="307"/>
    </row>
    <row r="196">
      <c r="C196" s="307"/>
    </row>
    <row r="197">
      <c r="C197" s="307"/>
    </row>
    <row r="198">
      <c r="C198" s="307"/>
    </row>
    <row r="199">
      <c r="C199" s="307"/>
    </row>
    <row r="200">
      <c r="C200" s="307"/>
    </row>
    <row r="201">
      <c r="C201" s="307"/>
    </row>
    <row r="202">
      <c r="C202" s="307"/>
    </row>
    <row r="203">
      <c r="C203" s="307"/>
    </row>
    <row r="204">
      <c r="C204" s="307"/>
    </row>
    <row r="205">
      <c r="C205" s="307"/>
    </row>
    <row r="206">
      <c r="C206" s="307"/>
    </row>
    <row r="207">
      <c r="C207" s="307"/>
    </row>
    <row r="208">
      <c r="C208" s="307"/>
    </row>
    <row r="209">
      <c r="C209" s="307"/>
    </row>
    <row r="210">
      <c r="C210" s="307"/>
    </row>
    <row r="211">
      <c r="C211" s="307"/>
    </row>
    <row r="212">
      <c r="C212" s="307"/>
    </row>
    <row r="213">
      <c r="C213" s="307"/>
    </row>
    <row r="214">
      <c r="C214" s="307"/>
    </row>
    <row r="215">
      <c r="C215" s="307"/>
    </row>
    <row r="216">
      <c r="C216" s="307"/>
    </row>
    <row r="217">
      <c r="C217" s="307"/>
    </row>
    <row r="218">
      <c r="C218" s="307"/>
    </row>
    <row r="219">
      <c r="C219" s="307"/>
    </row>
    <row r="220">
      <c r="C220" s="307"/>
    </row>
    <row r="221">
      <c r="C221" s="307"/>
    </row>
    <row r="222">
      <c r="C222" s="307"/>
    </row>
    <row r="223">
      <c r="C223" s="307"/>
    </row>
    <row r="224">
      <c r="C224" s="307"/>
    </row>
    <row r="225">
      <c r="C225" s="307"/>
    </row>
    <row r="226">
      <c r="C226" s="307"/>
    </row>
    <row r="227">
      <c r="C227" s="307"/>
    </row>
    <row r="228">
      <c r="C228" s="307"/>
    </row>
    <row r="229">
      <c r="C229" s="307"/>
    </row>
    <row r="230">
      <c r="C230" s="307"/>
    </row>
    <row r="231">
      <c r="C231" s="307"/>
    </row>
    <row r="232">
      <c r="C232" s="307"/>
    </row>
    <row r="233">
      <c r="C233" s="307"/>
    </row>
    <row r="234">
      <c r="C234" s="307"/>
    </row>
    <row r="235">
      <c r="C235" s="307"/>
    </row>
    <row r="236">
      <c r="C236" s="307"/>
    </row>
    <row r="237">
      <c r="C237" s="307"/>
    </row>
    <row r="238">
      <c r="C238" s="307"/>
    </row>
    <row r="239">
      <c r="C239" s="307"/>
    </row>
    <row r="240">
      <c r="C240" s="307"/>
    </row>
    <row r="241">
      <c r="C241" s="307"/>
    </row>
    <row r="242">
      <c r="C242" s="307"/>
    </row>
    <row r="243">
      <c r="C243" s="307"/>
    </row>
    <row r="244">
      <c r="C244" s="307"/>
    </row>
    <row r="245">
      <c r="C245" s="307"/>
    </row>
    <row r="246">
      <c r="C246" s="307"/>
    </row>
    <row r="247">
      <c r="C247" s="307"/>
    </row>
    <row r="248">
      <c r="C248" s="307"/>
    </row>
    <row r="249">
      <c r="C249" s="307"/>
    </row>
    <row r="250">
      <c r="C250" s="307"/>
    </row>
    <row r="251">
      <c r="C251" s="307"/>
    </row>
    <row r="252">
      <c r="C252" s="307"/>
    </row>
    <row r="253">
      <c r="C253" s="307"/>
    </row>
    <row r="254">
      <c r="C254" s="307"/>
    </row>
    <row r="255">
      <c r="C255" s="307"/>
    </row>
    <row r="256">
      <c r="C256" s="307"/>
    </row>
    <row r="257">
      <c r="C257" s="307"/>
    </row>
    <row r="258">
      <c r="C258" s="307"/>
    </row>
    <row r="259">
      <c r="C259" s="307"/>
    </row>
    <row r="260">
      <c r="C260" s="307"/>
    </row>
    <row r="261">
      <c r="C261" s="307"/>
    </row>
    <row r="262">
      <c r="C262" s="307"/>
    </row>
    <row r="263">
      <c r="C263" s="307"/>
    </row>
    <row r="264">
      <c r="C264" s="307"/>
    </row>
    <row r="265">
      <c r="C265" s="307"/>
    </row>
    <row r="266">
      <c r="C266" s="307"/>
    </row>
    <row r="267">
      <c r="C267" s="307"/>
    </row>
    <row r="268">
      <c r="C268" s="307"/>
    </row>
    <row r="269">
      <c r="C269" s="307"/>
    </row>
    <row r="270">
      <c r="C270" s="307"/>
    </row>
    <row r="271">
      <c r="C271" s="307"/>
    </row>
    <row r="272">
      <c r="C272" s="307"/>
    </row>
    <row r="273">
      <c r="C273" s="307"/>
    </row>
    <row r="274">
      <c r="C274" s="307"/>
    </row>
    <row r="275">
      <c r="C275" s="307"/>
    </row>
    <row r="276">
      <c r="C276" s="307"/>
    </row>
    <row r="277">
      <c r="C277" s="307"/>
    </row>
    <row r="278">
      <c r="C278" s="307"/>
    </row>
    <row r="279">
      <c r="C279" s="307"/>
    </row>
    <row r="280">
      <c r="C280" s="307"/>
    </row>
    <row r="281">
      <c r="C281" s="307"/>
    </row>
    <row r="282">
      <c r="C282" s="307"/>
    </row>
    <row r="283">
      <c r="C283" s="307"/>
    </row>
    <row r="284">
      <c r="C284" s="307"/>
    </row>
    <row r="285">
      <c r="C285" s="307"/>
    </row>
    <row r="286">
      <c r="C286" s="307"/>
    </row>
    <row r="287">
      <c r="C287" s="307"/>
    </row>
    <row r="288">
      <c r="C288" s="307"/>
    </row>
    <row r="289">
      <c r="C289" s="307"/>
    </row>
    <row r="290">
      <c r="C290" s="307"/>
    </row>
    <row r="291">
      <c r="C291" s="307"/>
    </row>
    <row r="292">
      <c r="C292" s="307"/>
    </row>
    <row r="293">
      <c r="C293" s="307"/>
    </row>
    <row r="294">
      <c r="C294" s="307"/>
    </row>
    <row r="295">
      <c r="C295" s="307"/>
    </row>
    <row r="296">
      <c r="C296" s="307"/>
    </row>
    <row r="297">
      <c r="C297" s="307"/>
    </row>
    <row r="298">
      <c r="C298" s="307"/>
    </row>
    <row r="299">
      <c r="C299" s="307"/>
    </row>
    <row r="300">
      <c r="C300" s="307"/>
    </row>
    <row r="301">
      <c r="C301" s="307"/>
    </row>
    <row r="302">
      <c r="C302" s="307"/>
    </row>
    <row r="303">
      <c r="C303" s="307"/>
    </row>
    <row r="304">
      <c r="C304" s="307"/>
    </row>
    <row r="305">
      <c r="C305" s="307"/>
    </row>
    <row r="306">
      <c r="C306" s="307"/>
    </row>
    <row r="307">
      <c r="C307" s="307"/>
    </row>
    <row r="308">
      <c r="C308" s="307"/>
    </row>
    <row r="309">
      <c r="C309" s="307"/>
    </row>
    <row r="310">
      <c r="C310" s="307"/>
    </row>
    <row r="311">
      <c r="C311" s="307"/>
    </row>
    <row r="312">
      <c r="C312" s="307"/>
    </row>
    <row r="313">
      <c r="C313" s="307"/>
    </row>
    <row r="314">
      <c r="C314" s="307"/>
    </row>
    <row r="315">
      <c r="C315" s="307"/>
    </row>
    <row r="316">
      <c r="C316" s="307"/>
    </row>
    <row r="317">
      <c r="C317" s="307"/>
    </row>
    <row r="318">
      <c r="C318" s="307"/>
    </row>
    <row r="319">
      <c r="C319" s="307"/>
    </row>
    <row r="320">
      <c r="C320" s="307"/>
    </row>
    <row r="321">
      <c r="C321" s="307"/>
    </row>
    <row r="322">
      <c r="C322" s="307"/>
    </row>
    <row r="323">
      <c r="C323" s="307"/>
    </row>
    <row r="324">
      <c r="C324" s="307"/>
    </row>
    <row r="325">
      <c r="C325" s="307"/>
    </row>
    <row r="326">
      <c r="C326" s="307"/>
    </row>
    <row r="327">
      <c r="C327" s="307"/>
    </row>
    <row r="328">
      <c r="C328" s="307"/>
    </row>
    <row r="329">
      <c r="C329" s="307"/>
    </row>
    <row r="330">
      <c r="C330" s="307"/>
    </row>
    <row r="331">
      <c r="C331" s="307"/>
    </row>
    <row r="332">
      <c r="C332" s="307"/>
    </row>
    <row r="333">
      <c r="C333" s="307"/>
    </row>
    <row r="334">
      <c r="C334" s="307"/>
    </row>
    <row r="335">
      <c r="C335" s="307"/>
    </row>
    <row r="336">
      <c r="C336" s="307"/>
    </row>
    <row r="337">
      <c r="C337" s="307"/>
    </row>
    <row r="338">
      <c r="C338" s="307"/>
    </row>
    <row r="339">
      <c r="C339" s="307"/>
    </row>
    <row r="340">
      <c r="C340" s="307"/>
    </row>
    <row r="341">
      <c r="C341" s="307"/>
    </row>
    <row r="342">
      <c r="C342" s="307"/>
    </row>
    <row r="343">
      <c r="C343" s="307"/>
    </row>
    <row r="344">
      <c r="C344" s="307"/>
    </row>
    <row r="345">
      <c r="C345" s="307"/>
    </row>
    <row r="346">
      <c r="C346" s="307"/>
    </row>
    <row r="347">
      <c r="C347" s="307"/>
    </row>
    <row r="348">
      <c r="C348" s="307"/>
    </row>
    <row r="349">
      <c r="C349" s="307"/>
    </row>
    <row r="350">
      <c r="C350" s="307"/>
    </row>
    <row r="351">
      <c r="C351" s="307"/>
    </row>
    <row r="352">
      <c r="C352" s="307"/>
    </row>
    <row r="353">
      <c r="C353" s="307"/>
    </row>
    <row r="354">
      <c r="C354" s="307"/>
    </row>
    <row r="355">
      <c r="C355" s="307"/>
    </row>
    <row r="356">
      <c r="C356" s="307"/>
    </row>
    <row r="357">
      <c r="C357" s="307"/>
    </row>
    <row r="358">
      <c r="C358" s="307"/>
    </row>
    <row r="359">
      <c r="C359" s="307"/>
    </row>
    <row r="360">
      <c r="C360" s="307"/>
    </row>
    <row r="361">
      <c r="C361" s="307"/>
    </row>
    <row r="362">
      <c r="C362" s="307"/>
    </row>
    <row r="363">
      <c r="C363" s="307"/>
    </row>
    <row r="364">
      <c r="C364" s="307"/>
    </row>
    <row r="365">
      <c r="C365" s="307"/>
    </row>
    <row r="366">
      <c r="C366" s="307"/>
    </row>
    <row r="367">
      <c r="C367" s="307"/>
    </row>
    <row r="368">
      <c r="C368" s="307"/>
    </row>
    <row r="369">
      <c r="C369" s="307"/>
    </row>
    <row r="370">
      <c r="C370" s="307"/>
    </row>
    <row r="371">
      <c r="C371" s="307"/>
    </row>
    <row r="372">
      <c r="C372" s="307"/>
    </row>
    <row r="373">
      <c r="C373" s="307"/>
    </row>
    <row r="374">
      <c r="C374" s="307"/>
    </row>
    <row r="375">
      <c r="C375" s="307"/>
    </row>
    <row r="376">
      <c r="C376" s="307"/>
    </row>
    <row r="377">
      <c r="C377" s="307"/>
    </row>
    <row r="378">
      <c r="C378" s="307"/>
    </row>
    <row r="379">
      <c r="C379" s="307"/>
    </row>
    <row r="380">
      <c r="C380" s="307"/>
    </row>
    <row r="381">
      <c r="C381" s="307"/>
    </row>
    <row r="382">
      <c r="C382" s="307"/>
    </row>
    <row r="383">
      <c r="C383" s="307"/>
    </row>
    <row r="384">
      <c r="C384" s="307"/>
    </row>
    <row r="385">
      <c r="C385" s="307"/>
    </row>
    <row r="386">
      <c r="C386" s="307"/>
    </row>
    <row r="387">
      <c r="C387" s="307"/>
    </row>
    <row r="388">
      <c r="C388" s="307"/>
    </row>
    <row r="389">
      <c r="C389" s="307"/>
    </row>
    <row r="390">
      <c r="C390" s="307"/>
    </row>
    <row r="391">
      <c r="C391" s="307"/>
    </row>
    <row r="392">
      <c r="C392" s="307"/>
    </row>
    <row r="393">
      <c r="C393" s="307"/>
    </row>
    <row r="394">
      <c r="C394" s="307"/>
    </row>
    <row r="395">
      <c r="C395" s="307"/>
    </row>
    <row r="396">
      <c r="C396" s="307"/>
    </row>
    <row r="397">
      <c r="C397" s="307"/>
    </row>
    <row r="398">
      <c r="C398" s="307"/>
    </row>
    <row r="399">
      <c r="C399" s="307"/>
    </row>
    <row r="400">
      <c r="C400" s="307"/>
    </row>
    <row r="401">
      <c r="C401" s="307"/>
    </row>
    <row r="402">
      <c r="C402" s="307"/>
    </row>
    <row r="403">
      <c r="C403" s="307"/>
    </row>
    <row r="404">
      <c r="C404" s="307"/>
    </row>
    <row r="405">
      <c r="C405" s="307"/>
    </row>
    <row r="406">
      <c r="C406" s="307"/>
    </row>
    <row r="407">
      <c r="C407" s="307"/>
    </row>
    <row r="408">
      <c r="C408" s="307"/>
    </row>
    <row r="409">
      <c r="C409" s="307"/>
    </row>
    <row r="410">
      <c r="C410" s="307"/>
    </row>
    <row r="411">
      <c r="C411" s="307"/>
    </row>
    <row r="412">
      <c r="C412" s="307"/>
    </row>
    <row r="413">
      <c r="C413" s="307"/>
    </row>
    <row r="414">
      <c r="C414" s="307"/>
    </row>
    <row r="415">
      <c r="C415" s="307"/>
    </row>
    <row r="416">
      <c r="C416" s="307"/>
    </row>
    <row r="417">
      <c r="C417" s="307"/>
    </row>
    <row r="418">
      <c r="C418" s="307"/>
    </row>
    <row r="419">
      <c r="C419" s="307"/>
    </row>
    <row r="420">
      <c r="C420" s="307"/>
    </row>
    <row r="421">
      <c r="C421" s="307"/>
    </row>
    <row r="422">
      <c r="C422" s="307"/>
    </row>
    <row r="423">
      <c r="C423" s="307"/>
    </row>
    <row r="424">
      <c r="C424" s="307"/>
    </row>
    <row r="425">
      <c r="C425" s="307"/>
    </row>
    <row r="426">
      <c r="C426" s="307"/>
    </row>
    <row r="427">
      <c r="C427" s="307"/>
    </row>
    <row r="428">
      <c r="C428" s="307"/>
    </row>
    <row r="429">
      <c r="C429" s="307"/>
    </row>
    <row r="430">
      <c r="C430" s="307"/>
    </row>
    <row r="431">
      <c r="C431" s="307"/>
    </row>
    <row r="432">
      <c r="C432" s="307"/>
    </row>
    <row r="433">
      <c r="C433" s="307"/>
    </row>
    <row r="434">
      <c r="C434" s="307"/>
    </row>
    <row r="435">
      <c r="C435" s="307"/>
    </row>
    <row r="436">
      <c r="C436" s="307"/>
    </row>
    <row r="437">
      <c r="C437" s="307"/>
    </row>
    <row r="438">
      <c r="C438" s="307"/>
    </row>
    <row r="439">
      <c r="C439" s="307"/>
    </row>
    <row r="440">
      <c r="C440" s="307"/>
    </row>
    <row r="441">
      <c r="C441" s="307"/>
    </row>
    <row r="442">
      <c r="C442" s="307"/>
    </row>
    <row r="443">
      <c r="C443" s="307"/>
    </row>
    <row r="444">
      <c r="C444" s="307"/>
    </row>
    <row r="445">
      <c r="C445" s="307"/>
    </row>
    <row r="446">
      <c r="C446" s="307"/>
    </row>
    <row r="447">
      <c r="C447" s="307"/>
    </row>
    <row r="448">
      <c r="C448" s="307"/>
    </row>
    <row r="449">
      <c r="C449" s="307"/>
    </row>
    <row r="450">
      <c r="C450" s="307"/>
    </row>
    <row r="451">
      <c r="C451" s="307"/>
    </row>
    <row r="452">
      <c r="C452" s="307"/>
    </row>
    <row r="453">
      <c r="C453" s="307"/>
    </row>
    <row r="454">
      <c r="C454" s="307"/>
    </row>
    <row r="455">
      <c r="C455" s="307"/>
    </row>
    <row r="456">
      <c r="C456" s="307"/>
    </row>
    <row r="457">
      <c r="C457" s="307"/>
    </row>
    <row r="458">
      <c r="C458" s="307"/>
    </row>
    <row r="459">
      <c r="C459" s="307"/>
    </row>
    <row r="460">
      <c r="C460" s="307"/>
    </row>
    <row r="461">
      <c r="C461" s="307"/>
    </row>
    <row r="462">
      <c r="C462" s="307"/>
    </row>
    <row r="463">
      <c r="C463" s="307"/>
    </row>
    <row r="464">
      <c r="C464" s="307"/>
    </row>
    <row r="465">
      <c r="C465" s="307"/>
    </row>
    <row r="466">
      <c r="C466" s="307"/>
    </row>
    <row r="467">
      <c r="C467" s="307"/>
    </row>
    <row r="468">
      <c r="C468" s="307"/>
    </row>
    <row r="469">
      <c r="C469" s="307"/>
    </row>
    <row r="470">
      <c r="C470" s="307"/>
    </row>
    <row r="471">
      <c r="C471" s="307"/>
    </row>
    <row r="472">
      <c r="C472" s="307"/>
    </row>
    <row r="473">
      <c r="C473" s="307"/>
    </row>
    <row r="474">
      <c r="C474" s="307"/>
    </row>
    <row r="475">
      <c r="C475" s="307"/>
    </row>
    <row r="476">
      <c r="C476" s="307"/>
    </row>
    <row r="477">
      <c r="C477" s="307"/>
    </row>
    <row r="478">
      <c r="C478" s="307"/>
    </row>
    <row r="479">
      <c r="C479" s="307"/>
    </row>
    <row r="480">
      <c r="C480" s="307"/>
    </row>
    <row r="481">
      <c r="C481" s="307"/>
    </row>
    <row r="482">
      <c r="C482" s="307"/>
    </row>
    <row r="483">
      <c r="C483" s="307"/>
    </row>
    <row r="484">
      <c r="C484" s="307"/>
    </row>
    <row r="485">
      <c r="C485" s="307"/>
    </row>
    <row r="486">
      <c r="C486" s="307"/>
    </row>
    <row r="487">
      <c r="C487" s="307"/>
    </row>
    <row r="488">
      <c r="C488" s="307"/>
    </row>
    <row r="489">
      <c r="C489" s="307"/>
    </row>
    <row r="490">
      <c r="C490" s="307"/>
    </row>
    <row r="491">
      <c r="C491" s="307"/>
    </row>
    <row r="492">
      <c r="C492" s="307"/>
    </row>
    <row r="493">
      <c r="C493" s="307"/>
    </row>
    <row r="494">
      <c r="C494" s="307"/>
    </row>
    <row r="495">
      <c r="C495" s="307"/>
    </row>
    <row r="496">
      <c r="C496" s="307"/>
    </row>
    <row r="497">
      <c r="C497" s="307"/>
    </row>
    <row r="498">
      <c r="C498" s="307"/>
    </row>
    <row r="499">
      <c r="C499" s="307"/>
    </row>
    <row r="500">
      <c r="C500" s="307"/>
    </row>
    <row r="501">
      <c r="C501" s="307"/>
    </row>
    <row r="502">
      <c r="C502" s="307"/>
    </row>
    <row r="503">
      <c r="C503" s="307"/>
    </row>
    <row r="504">
      <c r="C504" s="307"/>
    </row>
    <row r="505">
      <c r="C505" s="307"/>
    </row>
    <row r="506">
      <c r="C506" s="307"/>
    </row>
    <row r="507">
      <c r="C507" s="307"/>
    </row>
    <row r="508">
      <c r="C508" s="307"/>
    </row>
    <row r="509">
      <c r="C509" s="307"/>
    </row>
    <row r="510">
      <c r="C510" s="307"/>
    </row>
    <row r="511">
      <c r="C511" s="307"/>
    </row>
    <row r="512">
      <c r="C512" s="307"/>
    </row>
    <row r="513">
      <c r="C513" s="307"/>
    </row>
    <row r="514">
      <c r="C514" s="307"/>
    </row>
    <row r="515">
      <c r="C515" s="307"/>
    </row>
    <row r="516">
      <c r="C516" s="307"/>
    </row>
    <row r="517">
      <c r="C517" s="307"/>
    </row>
    <row r="518">
      <c r="C518" s="307"/>
    </row>
    <row r="519">
      <c r="C519" s="307"/>
    </row>
    <row r="520">
      <c r="C520" s="307"/>
    </row>
    <row r="521">
      <c r="C521" s="307"/>
    </row>
    <row r="522">
      <c r="C522" s="307"/>
    </row>
    <row r="523">
      <c r="C523" s="307"/>
    </row>
    <row r="524">
      <c r="C524" s="307"/>
    </row>
    <row r="525">
      <c r="C525" s="307"/>
    </row>
    <row r="526">
      <c r="C526" s="307"/>
    </row>
    <row r="527">
      <c r="C527" s="307"/>
    </row>
    <row r="528">
      <c r="C528" s="307"/>
    </row>
    <row r="529">
      <c r="C529" s="307"/>
    </row>
    <row r="530">
      <c r="C530" s="307"/>
    </row>
    <row r="531">
      <c r="C531" s="307"/>
    </row>
    <row r="532">
      <c r="C532" s="307"/>
    </row>
    <row r="533">
      <c r="C533" s="307"/>
    </row>
    <row r="534">
      <c r="C534" s="307"/>
    </row>
    <row r="535">
      <c r="C535" s="307"/>
    </row>
    <row r="536">
      <c r="C536" s="307"/>
    </row>
    <row r="537">
      <c r="C537" s="307"/>
    </row>
    <row r="538">
      <c r="C538" s="307"/>
    </row>
    <row r="539">
      <c r="C539" s="307"/>
    </row>
    <row r="540">
      <c r="C540" s="307"/>
    </row>
    <row r="541">
      <c r="C541" s="307"/>
    </row>
    <row r="542">
      <c r="C542" s="307"/>
    </row>
    <row r="543">
      <c r="C543" s="307"/>
    </row>
    <row r="544">
      <c r="C544" s="307"/>
    </row>
    <row r="545">
      <c r="C545" s="307"/>
    </row>
    <row r="546">
      <c r="C546" s="307"/>
    </row>
    <row r="547">
      <c r="C547" s="307"/>
    </row>
    <row r="548">
      <c r="C548" s="307"/>
    </row>
    <row r="549">
      <c r="C549" s="307"/>
    </row>
    <row r="550">
      <c r="C550" s="307"/>
    </row>
    <row r="551">
      <c r="C551" s="307"/>
    </row>
    <row r="552">
      <c r="C552" s="307"/>
    </row>
    <row r="553">
      <c r="C553" s="307"/>
    </row>
    <row r="554">
      <c r="C554" s="307"/>
    </row>
    <row r="555">
      <c r="C555" s="307"/>
    </row>
    <row r="556">
      <c r="C556" s="307"/>
    </row>
    <row r="557">
      <c r="C557" s="307"/>
    </row>
    <row r="558">
      <c r="C558" s="307"/>
    </row>
    <row r="559">
      <c r="C559" s="307"/>
    </row>
    <row r="560">
      <c r="C560" s="307"/>
    </row>
    <row r="561">
      <c r="C561" s="307"/>
    </row>
    <row r="562">
      <c r="C562" s="307"/>
    </row>
    <row r="563">
      <c r="C563" s="307"/>
    </row>
    <row r="564">
      <c r="C564" s="307"/>
    </row>
    <row r="565">
      <c r="C565" s="307"/>
    </row>
    <row r="566">
      <c r="C566" s="307"/>
    </row>
    <row r="567">
      <c r="C567" s="307"/>
    </row>
    <row r="568">
      <c r="C568" s="307"/>
    </row>
    <row r="569">
      <c r="C569" s="307"/>
    </row>
    <row r="570">
      <c r="C570" s="307"/>
    </row>
    <row r="571">
      <c r="C571" s="307"/>
    </row>
    <row r="572">
      <c r="C572" s="307"/>
    </row>
    <row r="573">
      <c r="C573" s="307"/>
    </row>
    <row r="574">
      <c r="C574" s="307"/>
    </row>
    <row r="575">
      <c r="C575" s="307"/>
    </row>
    <row r="576">
      <c r="C576" s="307"/>
    </row>
    <row r="577">
      <c r="C577" s="307"/>
    </row>
    <row r="578">
      <c r="C578" s="307"/>
    </row>
    <row r="579">
      <c r="C579" s="307"/>
    </row>
    <row r="580">
      <c r="C580" s="307"/>
    </row>
    <row r="581">
      <c r="C581" s="307"/>
    </row>
    <row r="582">
      <c r="C582" s="307"/>
    </row>
    <row r="583">
      <c r="C583" s="307"/>
    </row>
    <row r="584">
      <c r="C584" s="307"/>
    </row>
    <row r="585">
      <c r="C585" s="307"/>
    </row>
    <row r="586">
      <c r="C586" s="307"/>
    </row>
    <row r="587">
      <c r="C587" s="307"/>
    </row>
    <row r="588">
      <c r="C588" s="307"/>
    </row>
    <row r="589">
      <c r="C589" s="307"/>
    </row>
    <row r="590">
      <c r="C590" s="307"/>
    </row>
    <row r="591">
      <c r="C591" s="307"/>
    </row>
    <row r="592">
      <c r="C592" s="307"/>
    </row>
    <row r="593">
      <c r="C593" s="307"/>
    </row>
    <row r="594">
      <c r="C594" s="307"/>
    </row>
    <row r="595">
      <c r="C595" s="307"/>
    </row>
    <row r="596">
      <c r="C596" s="307"/>
    </row>
    <row r="597">
      <c r="C597" s="307"/>
    </row>
    <row r="598">
      <c r="C598" s="307"/>
    </row>
    <row r="599">
      <c r="C599" s="307"/>
    </row>
    <row r="600">
      <c r="C600" s="307"/>
    </row>
    <row r="601">
      <c r="C601" s="307"/>
    </row>
    <row r="602">
      <c r="C602" s="307"/>
    </row>
    <row r="603">
      <c r="C603" s="307"/>
    </row>
    <row r="604">
      <c r="C604" s="307"/>
    </row>
    <row r="605">
      <c r="C605" s="307"/>
    </row>
    <row r="606">
      <c r="C606" s="307"/>
    </row>
    <row r="607">
      <c r="C607" s="307"/>
    </row>
    <row r="608">
      <c r="C608" s="307"/>
    </row>
    <row r="609">
      <c r="C609" s="307"/>
    </row>
    <row r="610">
      <c r="C610" s="307"/>
    </row>
    <row r="611">
      <c r="C611" s="307"/>
    </row>
    <row r="612">
      <c r="C612" s="307"/>
    </row>
    <row r="613">
      <c r="C613" s="307"/>
    </row>
    <row r="614">
      <c r="C614" s="307"/>
    </row>
    <row r="615">
      <c r="C615" s="307"/>
    </row>
    <row r="616">
      <c r="C616" s="307"/>
    </row>
    <row r="617">
      <c r="C617" s="307"/>
    </row>
    <row r="618">
      <c r="C618" s="307"/>
    </row>
    <row r="619">
      <c r="C619" s="307"/>
    </row>
    <row r="620">
      <c r="C620" s="307"/>
    </row>
    <row r="621">
      <c r="C621" s="307"/>
    </row>
    <row r="622">
      <c r="C622" s="307"/>
    </row>
    <row r="623">
      <c r="C623" s="307"/>
    </row>
    <row r="624">
      <c r="C624" s="307"/>
    </row>
    <row r="625">
      <c r="C625" s="307"/>
    </row>
    <row r="626">
      <c r="C626" s="307"/>
    </row>
    <row r="627">
      <c r="C627" s="307"/>
    </row>
    <row r="628">
      <c r="C628" s="307"/>
    </row>
    <row r="629">
      <c r="C629" s="307"/>
    </row>
    <row r="630">
      <c r="C630" s="307"/>
    </row>
    <row r="631">
      <c r="C631" s="307"/>
    </row>
    <row r="632">
      <c r="C632" s="307"/>
    </row>
    <row r="633">
      <c r="C633" s="307"/>
    </row>
    <row r="634">
      <c r="C634" s="307"/>
    </row>
    <row r="635">
      <c r="C635" s="307"/>
    </row>
    <row r="636">
      <c r="C636" s="307"/>
    </row>
    <row r="637">
      <c r="C637" s="307"/>
    </row>
    <row r="638">
      <c r="C638" s="307"/>
    </row>
    <row r="639">
      <c r="C639" s="307"/>
    </row>
    <row r="640">
      <c r="C640" s="307"/>
    </row>
    <row r="641">
      <c r="C641" s="307"/>
    </row>
    <row r="642">
      <c r="C642" s="307"/>
    </row>
    <row r="643">
      <c r="C643" s="307"/>
    </row>
    <row r="644">
      <c r="C644" s="307"/>
    </row>
    <row r="645">
      <c r="C645" s="307"/>
    </row>
    <row r="646">
      <c r="C646" s="307"/>
    </row>
    <row r="647">
      <c r="C647" s="307"/>
    </row>
    <row r="648">
      <c r="C648" s="307"/>
    </row>
    <row r="649">
      <c r="C649" s="307"/>
    </row>
    <row r="650">
      <c r="C650" s="307"/>
    </row>
    <row r="651">
      <c r="C651" s="307"/>
    </row>
    <row r="652">
      <c r="C652" s="307"/>
    </row>
    <row r="653">
      <c r="C653" s="307"/>
    </row>
    <row r="654">
      <c r="C654" s="307"/>
    </row>
    <row r="655">
      <c r="C655" s="307"/>
    </row>
    <row r="656">
      <c r="C656" s="307"/>
    </row>
    <row r="657">
      <c r="C657" s="307"/>
    </row>
    <row r="658">
      <c r="C658" s="307"/>
    </row>
    <row r="659">
      <c r="C659" s="307"/>
    </row>
    <row r="660">
      <c r="C660" s="307"/>
    </row>
    <row r="661">
      <c r="C661" s="307"/>
    </row>
    <row r="662">
      <c r="C662" s="307"/>
    </row>
    <row r="663">
      <c r="C663" s="307"/>
    </row>
    <row r="664">
      <c r="C664" s="307"/>
    </row>
    <row r="665">
      <c r="C665" s="307"/>
    </row>
    <row r="666">
      <c r="C666" s="307"/>
    </row>
    <row r="667">
      <c r="C667" s="307"/>
    </row>
    <row r="668">
      <c r="C668" s="307"/>
    </row>
    <row r="669">
      <c r="C669" s="307"/>
    </row>
    <row r="670">
      <c r="C670" s="307"/>
    </row>
    <row r="671">
      <c r="C671" s="307"/>
    </row>
    <row r="672">
      <c r="C672" s="307"/>
    </row>
    <row r="673">
      <c r="C673" s="307"/>
    </row>
    <row r="674">
      <c r="C674" s="307"/>
    </row>
    <row r="675">
      <c r="C675" s="307"/>
    </row>
    <row r="676">
      <c r="C676" s="307"/>
    </row>
    <row r="677">
      <c r="C677" s="307"/>
    </row>
    <row r="678">
      <c r="C678" s="307"/>
    </row>
    <row r="679">
      <c r="C679" s="307"/>
    </row>
    <row r="680">
      <c r="C680" s="307"/>
    </row>
    <row r="681">
      <c r="C681" s="307"/>
    </row>
    <row r="682">
      <c r="C682" s="307"/>
    </row>
    <row r="683">
      <c r="C683" s="307"/>
    </row>
    <row r="684">
      <c r="C684" s="307"/>
    </row>
    <row r="685">
      <c r="C685" s="307"/>
    </row>
    <row r="686">
      <c r="C686" s="307"/>
    </row>
    <row r="687">
      <c r="C687" s="307"/>
    </row>
    <row r="688">
      <c r="C688" s="307"/>
    </row>
    <row r="689">
      <c r="C689" s="307"/>
    </row>
    <row r="690">
      <c r="C690" s="307"/>
    </row>
    <row r="691">
      <c r="C691" s="307"/>
    </row>
    <row r="692">
      <c r="C692" s="307"/>
    </row>
    <row r="693">
      <c r="C693" s="307"/>
    </row>
    <row r="694">
      <c r="C694" s="307"/>
    </row>
    <row r="695">
      <c r="C695" s="307"/>
    </row>
    <row r="696">
      <c r="C696" s="307"/>
    </row>
    <row r="697">
      <c r="C697" s="307"/>
    </row>
    <row r="698">
      <c r="C698" s="307"/>
    </row>
    <row r="699">
      <c r="C699" s="307"/>
    </row>
    <row r="700">
      <c r="C700" s="307"/>
    </row>
    <row r="701">
      <c r="C701" s="307"/>
    </row>
    <row r="702">
      <c r="C702" s="307"/>
    </row>
    <row r="703">
      <c r="C703" s="307"/>
    </row>
    <row r="704">
      <c r="C704" s="307"/>
    </row>
    <row r="705">
      <c r="C705" s="307"/>
    </row>
    <row r="706">
      <c r="C706" s="307"/>
    </row>
    <row r="707">
      <c r="C707" s="307"/>
    </row>
    <row r="708">
      <c r="C708" s="307"/>
    </row>
    <row r="709">
      <c r="C709" s="307"/>
    </row>
    <row r="710">
      <c r="C710" s="307"/>
    </row>
    <row r="711">
      <c r="C711" s="307"/>
    </row>
    <row r="712">
      <c r="C712" s="307"/>
    </row>
    <row r="713">
      <c r="C713" s="307"/>
    </row>
    <row r="714">
      <c r="C714" s="307"/>
    </row>
    <row r="715">
      <c r="C715" s="307"/>
    </row>
    <row r="716">
      <c r="C716" s="307"/>
    </row>
    <row r="717">
      <c r="C717" s="307"/>
    </row>
    <row r="718">
      <c r="C718" s="307"/>
    </row>
    <row r="719">
      <c r="C719" s="307"/>
    </row>
    <row r="720">
      <c r="C720" s="307"/>
    </row>
    <row r="721">
      <c r="C721" s="307"/>
    </row>
    <row r="722">
      <c r="C722" s="307"/>
    </row>
    <row r="723">
      <c r="C723" s="307"/>
    </row>
    <row r="724">
      <c r="C724" s="307"/>
    </row>
    <row r="725">
      <c r="C725" s="307"/>
    </row>
    <row r="726">
      <c r="C726" s="307"/>
    </row>
    <row r="727">
      <c r="C727" s="307"/>
    </row>
    <row r="728">
      <c r="C728" s="307"/>
    </row>
    <row r="729">
      <c r="C729" s="307"/>
    </row>
    <row r="730">
      <c r="C730" s="307"/>
    </row>
    <row r="731">
      <c r="C731" s="307"/>
    </row>
    <row r="732">
      <c r="C732" s="307"/>
    </row>
    <row r="733">
      <c r="C733" s="307"/>
    </row>
    <row r="734">
      <c r="C734" s="307"/>
    </row>
    <row r="735">
      <c r="C735" s="307"/>
    </row>
    <row r="736">
      <c r="C736" s="307"/>
    </row>
    <row r="737">
      <c r="C737" s="307"/>
    </row>
    <row r="738">
      <c r="C738" s="307"/>
    </row>
    <row r="739">
      <c r="C739" s="307"/>
    </row>
    <row r="740">
      <c r="C740" s="307"/>
    </row>
    <row r="741">
      <c r="C741" s="307"/>
    </row>
    <row r="742">
      <c r="C742" s="307"/>
    </row>
    <row r="743">
      <c r="C743" s="307"/>
    </row>
    <row r="744">
      <c r="C744" s="307"/>
    </row>
    <row r="745">
      <c r="C745" s="307"/>
    </row>
    <row r="746">
      <c r="C746" s="307"/>
    </row>
    <row r="747">
      <c r="C747" s="307"/>
    </row>
    <row r="748">
      <c r="C748" s="307"/>
    </row>
    <row r="749">
      <c r="C749" s="307"/>
    </row>
    <row r="750">
      <c r="C750" s="307"/>
    </row>
    <row r="751">
      <c r="C751" s="307"/>
    </row>
    <row r="752">
      <c r="C752" s="307"/>
    </row>
    <row r="753">
      <c r="C753" s="307"/>
    </row>
    <row r="754">
      <c r="C754" s="307"/>
    </row>
    <row r="755">
      <c r="C755" s="307"/>
    </row>
    <row r="756">
      <c r="C756" s="307"/>
    </row>
    <row r="757">
      <c r="C757" s="307"/>
    </row>
    <row r="758">
      <c r="C758" s="307"/>
    </row>
    <row r="759">
      <c r="C759" s="307"/>
    </row>
    <row r="760">
      <c r="C760" s="307"/>
    </row>
    <row r="761">
      <c r="C761" s="307"/>
    </row>
    <row r="762">
      <c r="C762" s="307"/>
    </row>
    <row r="763">
      <c r="C763" s="307"/>
    </row>
    <row r="764">
      <c r="C764" s="307"/>
    </row>
    <row r="765">
      <c r="C765" s="307"/>
    </row>
    <row r="766">
      <c r="C766" s="307"/>
    </row>
    <row r="767">
      <c r="C767" s="307"/>
    </row>
    <row r="768">
      <c r="C768" s="307"/>
    </row>
    <row r="769">
      <c r="C769" s="307"/>
    </row>
    <row r="770">
      <c r="C770" s="307"/>
    </row>
    <row r="771">
      <c r="C771" s="307"/>
    </row>
    <row r="772">
      <c r="C772" s="307"/>
    </row>
    <row r="773">
      <c r="C773" s="307"/>
    </row>
    <row r="774">
      <c r="C774" s="307"/>
    </row>
    <row r="775">
      <c r="C775" s="307"/>
    </row>
    <row r="776">
      <c r="C776" s="307"/>
    </row>
    <row r="777">
      <c r="C777" s="307"/>
    </row>
    <row r="778">
      <c r="C778" s="307"/>
    </row>
    <row r="779">
      <c r="C779" s="307"/>
    </row>
    <row r="780">
      <c r="C780" s="307"/>
    </row>
    <row r="781">
      <c r="C781" s="307"/>
    </row>
    <row r="782">
      <c r="C782" s="307"/>
    </row>
    <row r="783">
      <c r="C783" s="307"/>
    </row>
    <row r="784">
      <c r="C784" s="307"/>
    </row>
    <row r="785">
      <c r="C785" s="307"/>
    </row>
    <row r="786">
      <c r="C786" s="307"/>
    </row>
    <row r="787">
      <c r="C787" s="307"/>
    </row>
    <row r="788">
      <c r="C788" s="307"/>
    </row>
    <row r="789">
      <c r="C789" s="307"/>
    </row>
    <row r="790">
      <c r="C790" s="307"/>
    </row>
    <row r="791">
      <c r="C791" s="307"/>
    </row>
    <row r="792">
      <c r="C792" s="307"/>
    </row>
    <row r="793">
      <c r="C793" s="307"/>
    </row>
    <row r="794">
      <c r="C794" s="307"/>
    </row>
    <row r="795">
      <c r="C795" s="307"/>
    </row>
    <row r="796">
      <c r="C796" s="307"/>
    </row>
    <row r="797">
      <c r="C797" s="307"/>
    </row>
    <row r="798">
      <c r="C798" s="307"/>
    </row>
    <row r="799">
      <c r="C799" s="307"/>
    </row>
    <row r="800">
      <c r="C800" s="307"/>
    </row>
    <row r="801">
      <c r="C801" s="307"/>
    </row>
    <row r="802">
      <c r="C802" s="307"/>
    </row>
    <row r="803">
      <c r="C803" s="307"/>
    </row>
    <row r="804">
      <c r="C804" s="307"/>
    </row>
    <row r="805">
      <c r="C805" s="307"/>
    </row>
    <row r="806">
      <c r="C806" s="307"/>
    </row>
    <row r="807">
      <c r="C807" s="307"/>
    </row>
    <row r="808">
      <c r="C808" s="307"/>
    </row>
    <row r="809">
      <c r="C809" s="307"/>
    </row>
    <row r="810">
      <c r="C810" s="307"/>
    </row>
    <row r="811">
      <c r="C811" s="307"/>
    </row>
    <row r="812">
      <c r="C812" s="307"/>
    </row>
    <row r="813">
      <c r="C813" s="307"/>
    </row>
    <row r="814">
      <c r="C814" s="307"/>
    </row>
    <row r="815">
      <c r="C815" s="307"/>
    </row>
    <row r="816">
      <c r="C816" s="307"/>
    </row>
    <row r="817">
      <c r="C817" s="307"/>
    </row>
    <row r="818">
      <c r="C818" s="307"/>
    </row>
    <row r="819">
      <c r="C819" s="307"/>
    </row>
    <row r="820">
      <c r="C820" s="307"/>
    </row>
    <row r="821">
      <c r="C821" s="307"/>
    </row>
    <row r="822">
      <c r="C822" s="307"/>
    </row>
    <row r="823">
      <c r="C823" s="307"/>
    </row>
    <row r="824">
      <c r="C824" s="307"/>
    </row>
    <row r="825">
      <c r="C825" s="307"/>
    </row>
    <row r="826">
      <c r="C826" s="307"/>
    </row>
    <row r="827">
      <c r="C827" s="307"/>
    </row>
    <row r="828">
      <c r="C828" s="307"/>
    </row>
    <row r="829">
      <c r="C829" s="307"/>
    </row>
    <row r="830">
      <c r="C830" s="307"/>
    </row>
    <row r="831">
      <c r="C831" s="307"/>
    </row>
    <row r="832">
      <c r="C832" s="307"/>
    </row>
    <row r="833">
      <c r="C833" s="307"/>
    </row>
    <row r="834">
      <c r="C834" s="307"/>
    </row>
    <row r="835">
      <c r="C835" s="307"/>
    </row>
    <row r="836">
      <c r="C836" s="307"/>
    </row>
    <row r="837">
      <c r="C837" s="307"/>
    </row>
    <row r="838">
      <c r="C838" s="307"/>
    </row>
    <row r="839">
      <c r="C839" s="307"/>
    </row>
    <row r="840">
      <c r="C840" s="307"/>
    </row>
    <row r="841">
      <c r="C841" s="307"/>
    </row>
    <row r="842">
      <c r="C842" s="307"/>
    </row>
    <row r="843">
      <c r="C843" s="307"/>
    </row>
    <row r="844">
      <c r="C844" s="307"/>
    </row>
    <row r="845">
      <c r="C845" s="307"/>
    </row>
    <row r="846">
      <c r="C846" s="307"/>
    </row>
    <row r="847">
      <c r="C847" s="307"/>
    </row>
    <row r="848">
      <c r="C848" s="307"/>
    </row>
    <row r="849">
      <c r="C849" s="307"/>
    </row>
    <row r="850">
      <c r="C850" s="307"/>
    </row>
    <row r="851">
      <c r="C851" s="307"/>
    </row>
    <row r="852">
      <c r="C852" s="307"/>
    </row>
    <row r="853">
      <c r="C853" s="307"/>
    </row>
    <row r="854">
      <c r="C854" s="307"/>
    </row>
    <row r="855">
      <c r="C855" s="307"/>
    </row>
    <row r="856">
      <c r="C856" s="307"/>
    </row>
    <row r="857">
      <c r="C857" s="307"/>
    </row>
    <row r="858">
      <c r="C858" s="307"/>
    </row>
    <row r="859">
      <c r="C859" s="307"/>
    </row>
    <row r="860">
      <c r="C860" s="307"/>
    </row>
    <row r="861">
      <c r="C861" s="307"/>
    </row>
    <row r="862">
      <c r="C862" s="307"/>
    </row>
    <row r="863">
      <c r="C863" s="307"/>
    </row>
    <row r="864">
      <c r="C864" s="307"/>
    </row>
    <row r="865">
      <c r="C865" s="307"/>
    </row>
    <row r="866">
      <c r="C866" s="307"/>
    </row>
    <row r="867">
      <c r="C867" s="307"/>
    </row>
    <row r="868">
      <c r="C868" s="307"/>
    </row>
    <row r="869">
      <c r="C869" s="307"/>
    </row>
    <row r="870">
      <c r="C870" s="307"/>
    </row>
    <row r="871">
      <c r="C871" s="307"/>
    </row>
    <row r="872">
      <c r="C872" s="307"/>
    </row>
    <row r="873">
      <c r="C873" s="307"/>
    </row>
    <row r="874">
      <c r="C874" s="307"/>
    </row>
    <row r="875">
      <c r="C875" s="307"/>
    </row>
    <row r="876">
      <c r="C876" s="307"/>
    </row>
    <row r="877">
      <c r="C877" s="307"/>
    </row>
    <row r="878">
      <c r="C878" s="307"/>
    </row>
    <row r="879">
      <c r="C879" s="307"/>
    </row>
    <row r="880">
      <c r="C880" s="307"/>
    </row>
    <row r="881">
      <c r="C881" s="307"/>
    </row>
    <row r="882">
      <c r="C882" s="307"/>
    </row>
    <row r="883">
      <c r="C883" s="307"/>
    </row>
    <row r="884">
      <c r="C884" s="307"/>
    </row>
    <row r="885">
      <c r="C885" s="307"/>
    </row>
    <row r="886">
      <c r="C886" s="307"/>
    </row>
    <row r="887">
      <c r="C887" s="307"/>
    </row>
    <row r="888">
      <c r="C888" s="307"/>
    </row>
    <row r="889">
      <c r="C889" s="307"/>
    </row>
    <row r="890">
      <c r="C890" s="307"/>
    </row>
    <row r="891">
      <c r="C891" s="307"/>
    </row>
    <row r="892">
      <c r="C892" s="307"/>
    </row>
    <row r="893">
      <c r="C893" s="307"/>
    </row>
    <row r="894">
      <c r="C894" s="307"/>
    </row>
    <row r="895">
      <c r="C895" s="307"/>
    </row>
    <row r="896">
      <c r="C896" s="307"/>
    </row>
    <row r="897">
      <c r="C897" s="307"/>
    </row>
    <row r="898">
      <c r="C898" s="307"/>
    </row>
    <row r="899">
      <c r="C899" s="307"/>
    </row>
    <row r="900">
      <c r="C900" s="307"/>
    </row>
    <row r="901">
      <c r="C901" s="307"/>
    </row>
    <row r="902">
      <c r="C902" s="307"/>
    </row>
    <row r="903">
      <c r="C903" s="307"/>
    </row>
    <row r="904">
      <c r="C904" s="307"/>
    </row>
    <row r="905">
      <c r="C905" s="307"/>
    </row>
    <row r="906">
      <c r="C906" s="307"/>
    </row>
    <row r="907">
      <c r="C907" s="307"/>
    </row>
    <row r="908">
      <c r="C908" s="307"/>
    </row>
    <row r="909">
      <c r="C909" s="307"/>
    </row>
    <row r="910">
      <c r="C910" s="307"/>
    </row>
    <row r="911">
      <c r="C911" s="307"/>
    </row>
    <row r="912">
      <c r="C912" s="307"/>
    </row>
    <row r="913">
      <c r="C913" s="307"/>
    </row>
    <row r="914">
      <c r="C914" s="307"/>
    </row>
    <row r="915">
      <c r="C915" s="307"/>
    </row>
    <row r="916">
      <c r="C916" s="307"/>
    </row>
    <row r="917">
      <c r="C917" s="307"/>
    </row>
    <row r="918">
      <c r="C918" s="307"/>
    </row>
    <row r="919">
      <c r="C919" s="307"/>
    </row>
    <row r="920">
      <c r="C920" s="307"/>
    </row>
    <row r="921">
      <c r="C921" s="307"/>
    </row>
    <row r="922">
      <c r="C922" s="307"/>
    </row>
    <row r="923">
      <c r="C923" s="307"/>
    </row>
    <row r="924">
      <c r="C924" s="307"/>
    </row>
    <row r="925">
      <c r="C925" s="307"/>
    </row>
    <row r="926">
      <c r="C926" s="307"/>
    </row>
    <row r="927">
      <c r="C927" s="307"/>
    </row>
    <row r="928">
      <c r="C928" s="307"/>
    </row>
    <row r="929">
      <c r="C929" s="307"/>
    </row>
    <row r="930">
      <c r="C930" s="307"/>
    </row>
    <row r="931">
      <c r="C931" s="307"/>
    </row>
    <row r="932">
      <c r="C932" s="307"/>
    </row>
    <row r="933">
      <c r="C933" s="307"/>
    </row>
    <row r="934">
      <c r="C934" s="307"/>
    </row>
    <row r="935">
      <c r="C935" s="307"/>
    </row>
    <row r="936">
      <c r="C936" s="307"/>
    </row>
    <row r="937">
      <c r="C937" s="307"/>
    </row>
    <row r="938">
      <c r="C938" s="307"/>
    </row>
    <row r="939">
      <c r="C939" s="307"/>
    </row>
    <row r="940">
      <c r="C940" s="307"/>
    </row>
    <row r="941">
      <c r="C941" s="307"/>
    </row>
    <row r="942">
      <c r="C942" s="307"/>
    </row>
    <row r="943">
      <c r="C943" s="307"/>
    </row>
    <row r="944">
      <c r="C944" s="307"/>
    </row>
    <row r="945">
      <c r="C945" s="307"/>
    </row>
    <row r="946">
      <c r="C946" s="307"/>
    </row>
    <row r="947">
      <c r="C947" s="307"/>
    </row>
    <row r="948">
      <c r="C948" s="307"/>
    </row>
    <row r="949">
      <c r="C949" s="307"/>
    </row>
    <row r="950">
      <c r="C950" s="307"/>
    </row>
    <row r="951">
      <c r="C951" s="307"/>
    </row>
    <row r="952">
      <c r="C952" s="307"/>
    </row>
    <row r="953">
      <c r="C953" s="307"/>
    </row>
    <row r="954">
      <c r="C954" s="307"/>
    </row>
    <row r="955">
      <c r="C955" s="307"/>
    </row>
    <row r="956">
      <c r="C956" s="307"/>
    </row>
    <row r="957">
      <c r="C957" s="307"/>
    </row>
    <row r="958">
      <c r="C958" s="307"/>
    </row>
    <row r="959">
      <c r="C959" s="307"/>
    </row>
    <row r="960">
      <c r="C960" s="307"/>
    </row>
    <row r="961">
      <c r="C961" s="307"/>
    </row>
    <row r="962">
      <c r="C962" s="307"/>
    </row>
    <row r="963">
      <c r="C963" s="307"/>
    </row>
    <row r="964">
      <c r="C964" s="307"/>
    </row>
    <row r="965">
      <c r="C965" s="307"/>
    </row>
    <row r="966">
      <c r="C966" s="307"/>
    </row>
    <row r="967">
      <c r="C967" s="307"/>
    </row>
    <row r="968">
      <c r="C968" s="307"/>
    </row>
    <row r="969">
      <c r="C969" s="307"/>
    </row>
    <row r="970">
      <c r="C970" s="307"/>
    </row>
    <row r="971">
      <c r="C971" s="307"/>
    </row>
    <row r="972">
      <c r="C972" s="307"/>
    </row>
    <row r="973">
      <c r="C973" s="307"/>
    </row>
    <row r="974">
      <c r="C974" s="307"/>
    </row>
    <row r="975">
      <c r="C975" s="307"/>
    </row>
    <row r="976">
      <c r="C976" s="307"/>
    </row>
    <row r="977">
      <c r="C977" s="307"/>
    </row>
    <row r="978">
      <c r="C978" s="307"/>
    </row>
    <row r="979">
      <c r="C979" s="307"/>
    </row>
    <row r="980">
      <c r="C980" s="307"/>
    </row>
    <row r="981">
      <c r="C981" s="307"/>
    </row>
    <row r="982">
      <c r="C982" s="307"/>
    </row>
    <row r="983">
      <c r="C983" s="307"/>
    </row>
    <row r="984">
      <c r="C984" s="307"/>
    </row>
    <row r="985">
      <c r="C985" s="307"/>
    </row>
    <row r="986">
      <c r="C986" s="307"/>
    </row>
  </sheetData>
  <mergeCells count="5">
    <mergeCell ref="A2:D2"/>
    <mergeCell ref="G4:I4"/>
    <mergeCell ref="G5:H5"/>
    <mergeCell ref="A30:D30"/>
    <mergeCell ref="A36:D36"/>
  </mergeCells>
  <hyperlinks>
    <hyperlink r:id="rId1" ref="E6"/>
    <hyperlink r:id="rId2" ref="E8"/>
    <hyperlink r:id="rId3" ref="E16"/>
    <hyperlink r:id="rId4" ref="E21"/>
    <hyperlink r:id="rId5" ref="E24"/>
  </hyperlinks>
  <drawing r:id="rId6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8.88"/>
    <col customWidth="1" min="2" max="2" width="11.38"/>
    <col customWidth="1" min="3" max="3" width="10.5"/>
    <col customWidth="1" min="4" max="4" width="11.25"/>
    <col customWidth="1" min="5" max="5" width="6.13"/>
    <col customWidth="1" min="6" max="6" width="7.88"/>
    <col customWidth="1" min="7" max="7" width="5.63"/>
    <col customWidth="1" min="8" max="8" width="14.5"/>
    <col customWidth="1" min="9" max="9" width="13.0"/>
    <col customWidth="1" min="10" max="10" width="13.88"/>
    <col customWidth="1" min="11" max="11" width="13.13"/>
    <col customWidth="1" min="12" max="12" width="15.5"/>
    <col customWidth="1" min="13" max="13" width="20.75"/>
    <col customWidth="1" min="14" max="14" width="21.25"/>
    <col customWidth="1" min="15" max="15" width="22.38"/>
    <col customWidth="1" min="16" max="16" width="12.63"/>
    <col customWidth="1" min="17" max="17" width="12.25"/>
  </cols>
  <sheetData>
    <row r="1" ht="33.75" customHeight="1">
      <c r="A1" s="13" t="s">
        <v>5</v>
      </c>
      <c r="B1" s="105" t="s">
        <v>7</v>
      </c>
      <c r="C1" s="105" t="s">
        <v>8</v>
      </c>
      <c r="D1" s="106" t="s">
        <v>9</v>
      </c>
      <c r="E1" s="15"/>
      <c r="F1" s="106" t="s">
        <v>10</v>
      </c>
      <c r="G1" s="15"/>
      <c r="H1" s="105" t="s">
        <v>11</v>
      </c>
      <c r="I1" s="16" t="s">
        <v>12</v>
      </c>
      <c r="J1" s="13" t="s">
        <v>13</v>
      </c>
      <c r="K1" s="105" t="s">
        <v>14</v>
      </c>
      <c r="L1" s="105" t="s">
        <v>15</v>
      </c>
      <c r="M1" s="107" t="s">
        <v>16</v>
      </c>
      <c r="N1" s="105" t="s">
        <v>17</v>
      </c>
      <c r="O1" s="107" t="s">
        <v>18</v>
      </c>
      <c r="P1" s="105" t="s">
        <v>19</v>
      </c>
      <c r="Q1" s="105" t="s">
        <v>20</v>
      </c>
    </row>
    <row r="2" ht="30.0" customHeight="1">
      <c r="A2" s="113" t="s">
        <v>25</v>
      </c>
      <c r="B2" s="114" t="s">
        <v>27</v>
      </c>
      <c r="C2" s="33" t="s">
        <v>28</v>
      </c>
      <c r="D2" s="115" t="s">
        <v>29</v>
      </c>
      <c r="E2" s="115" t="s">
        <v>30</v>
      </c>
      <c r="F2" s="115" t="s">
        <v>29</v>
      </c>
      <c r="G2" s="115" t="s">
        <v>30</v>
      </c>
      <c r="H2" s="33" t="s">
        <v>31</v>
      </c>
      <c r="I2" s="116" t="s">
        <v>32</v>
      </c>
      <c r="J2" s="117">
        <v>1994.0</v>
      </c>
      <c r="K2" s="118">
        <v>29758.0</v>
      </c>
      <c r="L2" s="119" t="s">
        <v>33</v>
      </c>
      <c r="M2" s="120" t="s">
        <v>34</v>
      </c>
      <c r="N2" s="33" t="s">
        <v>35</v>
      </c>
      <c r="O2" s="120" t="s">
        <v>36</v>
      </c>
      <c r="P2" s="121">
        <v>85855.0</v>
      </c>
      <c r="Q2" s="114">
        <v>1.0</v>
      </c>
    </row>
    <row r="3" ht="30.0" customHeight="1">
      <c r="A3" s="113" t="s">
        <v>25</v>
      </c>
      <c r="B3" s="114" t="s">
        <v>27</v>
      </c>
      <c r="C3" s="33" t="s">
        <v>28</v>
      </c>
      <c r="D3" s="115" t="s">
        <v>29</v>
      </c>
      <c r="E3" s="115" t="s">
        <v>30</v>
      </c>
      <c r="F3" s="115" t="s">
        <v>29</v>
      </c>
      <c r="G3" s="115" t="s">
        <v>30</v>
      </c>
      <c r="H3" s="33" t="s">
        <v>31</v>
      </c>
      <c r="I3" s="116" t="s">
        <v>208</v>
      </c>
      <c r="J3" s="33" t="s">
        <v>42</v>
      </c>
      <c r="K3" s="128">
        <v>25114.0</v>
      </c>
      <c r="L3" s="119" t="s">
        <v>209</v>
      </c>
      <c r="M3" s="120" t="s">
        <v>210</v>
      </c>
      <c r="N3" s="33" t="s">
        <v>56</v>
      </c>
      <c r="O3" s="120" t="s">
        <v>211</v>
      </c>
      <c r="P3" s="121">
        <v>699652.0</v>
      </c>
      <c r="Q3" s="114">
        <f t="shared" ref="Q3:Q30" si="1">Q2+1</f>
        <v>2</v>
      </c>
    </row>
    <row r="4" ht="30.0" customHeight="1">
      <c r="A4" s="113" t="s">
        <v>25</v>
      </c>
      <c r="B4" s="114" t="s">
        <v>47</v>
      </c>
      <c r="C4" s="115" t="s">
        <v>39</v>
      </c>
      <c r="D4" s="33" t="s">
        <v>40</v>
      </c>
      <c r="E4" s="115" t="s">
        <v>30</v>
      </c>
      <c r="F4" s="115" t="s">
        <v>29</v>
      </c>
      <c r="G4" s="115" t="s">
        <v>30</v>
      </c>
      <c r="H4" s="33" t="s">
        <v>41</v>
      </c>
      <c r="I4" s="126">
        <v>0.0</v>
      </c>
      <c r="J4" s="33" t="s">
        <v>42</v>
      </c>
      <c r="K4" s="118">
        <v>29102.0</v>
      </c>
      <c r="L4" s="119" t="s">
        <v>127</v>
      </c>
      <c r="M4" s="120" t="s">
        <v>128</v>
      </c>
      <c r="N4" s="33" t="s">
        <v>35</v>
      </c>
      <c r="O4" s="120" t="s">
        <v>129</v>
      </c>
      <c r="P4" s="114">
        <v>697263.0</v>
      </c>
      <c r="Q4" s="114">
        <f t="shared" si="1"/>
        <v>3</v>
      </c>
    </row>
    <row r="5" ht="45.75" customHeight="1">
      <c r="A5" s="113" t="s">
        <v>25</v>
      </c>
      <c r="B5" s="114" t="s">
        <v>53</v>
      </c>
      <c r="C5" s="127" t="s">
        <v>54</v>
      </c>
      <c r="D5" s="115" t="s">
        <v>29</v>
      </c>
      <c r="E5" s="115" t="s">
        <v>30</v>
      </c>
      <c r="F5" s="115" t="s">
        <v>29</v>
      </c>
      <c r="G5" s="115" t="s">
        <v>30</v>
      </c>
      <c r="H5" s="33" t="s">
        <v>131</v>
      </c>
      <c r="I5" s="116" t="s">
        <v>132</v>
      </c>
      <c r="J5" s="33" t="s">
        <v>42</v>
      </c>
      <c r="K5" s="128">
        <v>17036.0</v>
      </c>
      <c r="L5" s="119" t="s">
        <v>133</v>
      </c>
      <c r="M5" s="120" t="s">
        <v>134</v>
      </c>
      <c r="N5" s="33" t="s">
        <v>56</v>
      </c>
      <c r="O5" s="120" t="s">
        <v>128</v>
      </c>
      <c r="P5" s="114">
        <v>633202.0</v>
      </c>
      <c r="Q5" s="114">
        <f t="shared" si="1"/>
        <v>4</v>
      </c>
    </row>
    <row r="6" ht="30.0" customHeight="1">
      <c r="A6" s="113" t="s">
        <v>37</v>
      </c>
      <c r="B6" s="114" t="s">
        <v>75</v>
      </c>
      <c r="C6" s="127" t="s">
        <v>54</v>
      </c>
      <c r="D6" s="33" t="s">
        <v>40</v>
      </c>
      <c r="E6" s="115" t="s">
        <v>30</v>
      </c>
      <c r="F6" s="115" t="s">
        <v>29</v>
      </c>
      <c r="G6" s="115" t="s">
        <v>30</v>
      </c>
      <c r="H6" s="33" t="s">
        <v>48</v>
      </c>
      <c r="I6" s="126">
        <v>0.0</v>
      </c>
      <c r="J6" s="33" t="s">
        <v>42</v>
      </c>
      <c r="K6" s="128">
        <v>19489.0</v>
      </c>
      <c r="L6" s="119" t="s">
        <v>136</v>
      </c>
      <c r="M6" s="120" t="s">
        <v>137</v>
      </c>
      <c r="N6" s="33" t="s">
        <v>56</v>
      </c>
      <c r="O6" s="120" t="s">
        <v>138</v>
      </c>
      <c r="P6" s="114">
        <v>690594.0</v>
      </c>
      <c r="Q6" s="114">
        <f t="shared" si="1"/>
        <v>5</v>
      </c>
    </row>
    <row r="7" ht="30.0" customHeight="1">
      <c r="A7" s="113" t="s">
        <v>37</v>
      </c>
      <c r="B7" s="114" t="s">
        <v>27</v>
      </c>
      <c r="C7" s="115" t="s">
        <v>39</v>
      </c>
      <c r="D7" s="33" t="s">
        <v>40</v>
      </c>
      <c r="E7" s="115" t="s">
        <v>30</v>
      </c>
      <c r="F7" s="115" t="s">
        <v>29</v>
      </c>
      <c r="G7" s="115" t="s">
        <v>30</v>
      </c>
      <c r="H7" s="33" t="s">
        <v>41</v>
      </c>
      <c r="I7" s="126">
        <v>0.0</v>
      </c>
      <c r="J7" s="33" t="s">
        <v>42</v>
      </c>
      <c r="K7" s="118">
        <v>26511.0</v>
      </c>
      <c r="L7" s="119" t="s">
        <v>43</v>
      </c>
      <c r="M7" s="120" t="s">
        <v>44</v>
      </c>
      <c r="N7" s="33" t="s">
        <v>35</v>
      </c>
      <c r="O7" s="120" t="s">
        <v>45</v>
      </c>
      <c r="P7" s="114">
        <v>629409.0</v>
      </c>
      <c r="Q7" s="114">
        <f t="shared" si="1"/>
        <v>6</v>
      </c>
    </row>
    <row r="8" ht="30.0" customHeight="1">
      <c r="A8" s="113" t="s">
        <v>37</v>
      </c>
      <c r="B8" s="114" t="s">
        <v>47</v>
      </c>
      <c r="C8" s="115" t="s">
        <v>39</v>
      </c>
      <c r="D8" s="33" t="s">
        <v>40</v>
      </c>
      <c r="E8" s="115" t="s">
        <v>30</v>
      </c>
      <c r="F8" s="115" t="s">
        <v>29</v>
      </c>
      <c r="G8" s="115" t="s">
        <v>30</v>
      </c>
      <c r="H8" s="33" t="s">
        <v>48</v>
      </c>
      <c r="I8" s="126">
        <v>0.0</v>
      </c>
      <c r="J8" s="33" t="s">
        <v>42</v>
      </c>
      <c r="K8" s="128">
        <v>27595.0</v>
      </c>
      <c r="L8" s="119" t="s">
        <v>49</v>
      </c>
      <c r="M8" s="120" t="s">
        <v>50</v>
      </c>
      <c r="N8" s="33" t="s">
        <v>35</v>
      </c>
      <c r="O8" s="120" t="s">
        <v>51</v>
      </c>
      <c r="P8" s="114">
        <v>691771.0</v>
      </c>
      <c r="Q8" s="114">
        <f t="shared" si="1"/>
        <v>7</v>
      </c>
    </row>
    <row r="9" ht="30.0" customHeight="1">
      <c r="A9" s="113" t="s">
        <v>25</v>
      </c>
      <c r="B9" s="114" t="s">
        <v>53</v>
      </c>
      <c r="C9" s="33" t="s">
        <v>140</v>
      </c>
      <c r="D9" s="33" t="s">
        <v>40</v>
      </c>
      <c r="E9" s="115" t="s">
        <v>30</v>
      </c>
      <c r="F9" s="115" t="s">
        <v>29</v>
      </c>
      <c r="G9" s="115" t="s">
        <v>30</v>
      </c>
      <c r="H9" s="33" t="s">
        <v>48</v>
      </c>
      <c r="I9" s="116" t="s">
        <v>141</v>
      </c>
      <c r="J9" s="33" t="s">
        <v>42</v>
      </c>
      <c r="K9" s="128">
        <v>21596.0</v>
      </c>
      <c r="L9" s="119" t="s">
        <v>142</v>
      </c>
      <c r="M9" s="120" t="s">
        <v>143</v>
      </c>
      <c r="N9" s="33" t="s">
        <v>56</v>
      </c>
      <c r="O9" s="120" t="s">
        <v>204</v>
      </c>
      <c r="P9" s="114">
        <v>600898.0</v>
      </c>
      <c r="Q9" s="114">
        <f t="shared" si="1"/>
        <v>8</v>
      </c>
    </row>
    <row r="10" ht="30.0" customHeight="1">
      <c r="A10" s="113" t="s">
        <v>25</v>
      </c>
      <c r="B10" s="114" t="s">
        <v>53</v>
      </c>
      <c r="C10" s="127" t="s">
        <v>54</v>
      </c>
      <c r="D10" s="115" t="s">
        <v>29</v>
      </c>
      <c r="E10" s="115" t="s">
        <v>30</v>
      </c>
      <c r="F10" s="115" t="s">
        <v>29</v>
      </c>
      <c r="G10" s="115" t="s">
        <v>30</v>
      </c>
      <c r="H10" s="33" t="s">
        <v>31</v>
      </c>
      <c r="I10" s="130"/>
      <c r="J10" s="33" t="s">
        <v>42</v>
      </c>
      <c r="K10" s="128">
        <v>12965.0</v>
      </c>
      <c r="L10" s="119" t="s">
        <v>146</v>
      </c>
      <c r="M10" s="120" t="s">
        <v>147</v>
      </c>
      <c r="N10" s="33" t="s">
        <v>56</v>
      </c>
      <c r="O10" s="120" t="s">
        <v>148</v>
      </c>
      <c r="P10" s="114">
        <v>626871.0</v>
      </c>
      <c r="Q10" s="114">
        <f t="shared" si="1"/>
        <v>9</v>
      </c>
    </row>
    <row r="11" ht="30.0" customHeight="1">
      <c r="A11" s="113" t="s">
        <v>25</v>
      </c>
      <c r="B11" s="114" t="s">
        <v>53</v>
      </c>
      <c r="C11" s="127" t="s">
        <v>54</v>
      </c>
      <c r="D11" s="33" t="s">
        <v>40</v>
      </c>
      <c r="E11" s="115" t="s">
        <v>30</v>
      </c>
      <c r="F11" s="115" t="s">
        <v>29</v>
      </c>
      <c r="G11" s="115" t="s">
        <v>30</v>
      </c>
      <c r="H11" s="33" t="s">
        <v>41</v>
      </c>
      <c r="I11" s="130"/>
      <c r="J11" s="33" t="s">
        <v>42</v>
      </c>
      <c r="K11" s="128">
        <v>17434.0</v>
      </c>
      <c r="L11" s="131"/>
      <c r="M11" s="120" t="s">
        <v>55</v>
      </c>
      <c r="N11" s="33" t="s">
        <v>56</v>
      </c>
      <c r="O11" s="120" t="s">
        <v>50</v>
      </c>
      <c r="P11" s="117">
        <v>600790.0</v>
      </c>
      <c r="Q11" s="114">
        <f t="shared" si="1"/>
        <v>10</v>
      </c>
    </row>
    <row r="12" ht="30.0" customHeight="1">
      <c r="A12" s="113" t="s">
        <v>25</v>
      </c>
      <c r="B12" s="114" t="s">
        <v>53</v>
      </c>
      <c r="C12" s="115" t="s">
        <v>39</v>
      </c>
      <c r="D12" s="33" t="s">
        <v>40</v>
      </c>
      <c r="E12" s="115" t="s">
        <v>30</v>
      </c>
      <c r="F12" s="115" t="s">
        <v>29</v>
      </c>
      <c r="G12" s="115" t="s">
        <v>30</v>
      </c>
      <c r="H12" s="33" t="s">
        <v>41</v>
      </c>
      <c r="I12" s="132" t="s">
        <v>150</v>
      </c>
      <c r="J12" s="33" t="s">
        <v>42</v>
      </c>
      <c r="K12" s="118">
        <v>26988.0</v>
      </c>
      <c r="L12" s="119" t="s">
        <v>151</v>
      </c>
      <c r="M12" s="120" t="s">
        <v>148</v>
      </c>
      <c r="N12" s="33" t="s">
        <v>35</v>
      </c>
      <c r="O12" s="120" t="s">
        <v>152</v>
      </c>
      <c r="P12" s="114">
        <v>629430.0</v>
      </c>
      <c r="Q12" s="114">
        <f t="shared" si="1"/>
        <v>11</v>
      </c>
    </row>
    <row r="13" ht="42.0" customHeight="1">
      <c r="A13" s="113" t="s">
        <v>25</v>
      </c>
      <c r="B13" s="133"/>
      <c r="C13" s="134" t="s">
        <v>76</v>
      </c>
      <c r="D13" s="33" t="s">
        <v>40</v>
      </c>
      <c r="E13" s="115" t="s">
        <v>30</v>
      </c>
      <c r="F13" s="115" t="s">
        <v>29</v>
      </c>
      <c r="G13" s="115" t="s">
        <v>30</v>
      </c>
      <c r="H13" s="33" t="s">
        <v>154</v>
      </c>
      <c r="I13" s="135" t="s">
        <v>155</v>
      </c>
      <c r="J13" s="33" t="s">
        <v>42</v>
      </c>
      <c r="K13" s="118">
        <v>29319.0</v>
      </c>
      <c r="L13" s="119" t="s">
        <v>156</v>
      </c>
      <c r="M13" s="120" t="s">
        <v>157</v>
      </c>
      <c r="N13" s="33" t="s">
        <v>35</v>
      </c>
      <c r="O13" s="120" t="s">
        <v>158</v>
      </c>
      <c r="P13" s="114">
        <v>73236.0</v>
      </c>
      <c r="Q13" s="114">
        <f t="shared" si="1"/>
        <v>12</v>
      </c>
    </row>
    <row r="14" ht="30.0" customHeight="1">
      <c r="A14" s="113" t="s">
        <v>25</v>
      </c>
      <c r="B14" s="114" t="s">
        <v>53</v>
      </c>
      <c r="C14" s="127" t="s">
        <v>54</v>
      </c>
      <c r="D14" s="33" t="s">
        <v>40</v>
      </c>
      <c r="E14" s="115" t="s">
        <v>30</v>
      </c>
      <c r="F14" s="115" t="s">
        <v>29</v>
      </c>
      <c r="G14" s="115" t="s">
        <v>30</v>
      </c>
      <c r="H14" s="33" t="s">
        <v>48</v>
      </c>
      <c r="I14" s="130"/>
      <c r="J14" s="33" t="s">
        <v>42</v>
      </c>
      <c r="K14" s="128">
        <v>23484.0</v>
      </c>
      <c r="L14" s="119" t="s">
        <v>205</v>
      </c>
      <c r="M14" s="120" t="s">
        <v>206</v>
      </c>
      <c r="N14" s="33" t="s">
        <v>56</v>
      </c>
      <c r="O14" s="120" t="s">
        <v>207</v>
      </c>
      <c r="P14" s="114">
        <v>629439.0</v>
      </c>
      <c r="Q14" s="114">
        <f t="shared" si="1"/>
        <v>13</v>
      </c>
    </row>
    <row r="15" ht="30.0" customHeight="1">
      <c r="A15" s="113" t="s">
        <v>25</v>
      </c>
      <c r="B15" s="114" t="s">
        <v>75</v>
      </c>
      <c r="C15" s="115" t="s">
        <v>39</v>
      </c>
      <c r="D15" s="33" t="s">
        <v>40</v>
      </c>
      <c r="E15" s="115" t="s">
        <v>30</v>
      </c>
      <c r="F15" s="115" t="s">
        <v>29</v>
      </c>
      <c r="G15" s="115" t="s">
        <v>30</v>
      </c>
      <c r="H15" s="33" t="s">
        <v>41</v>
      </c>
      <c r="I15" s="130"/>
      <c r="J15" s="33" t="s">
        <v>42</v>
      </c>
      <c r="K15" s="118">
        <v>29895.0</v>
      </c>
      <c r="L15" s="119" t="s">
        <v>160</v>
      </c>
      <c r="M15" s="120" t="s">
        <v>161</v>
      </c>
      <c r="N15" s="33" t="s">
        <v>35</v>
      </c>
      <c r="O15" s="120" t="s">
        <v>162</v>
      </c>
      <c r="P15" s="114">
        <v>698781.0</v>
      </c>
      <c r="Q15" s="114">
        <f t="shared" si="1"/>
        <v>14</v>
      </c>
    </row>
    <row r="16" ht="30.0" customHeight="1">
      <c r="A16" s="113" t="s">
        <v>25</v>
      </c>
      <c r="B16" s="114" t="s">
        <v>27</v>
      </c>
      <c r="C16" s="127" t="s">
        <v>54</v>
      </c>
      <c r="D16" s="33" t="s">
        <v>40</v>
      </c>
      <c r="E16" s="115" t="s">
        <v>30</v>
      </c>
      <c r="F16" s="115" t="s">
        <v>29</v>
      </c>
      <c r="G16" s="115" t="s">
        <v>30</v>
      </c>
      <c r="H16" s="33" t="s">
        <v>48</v>
      </c>
      <c r="I16" s="116" t="s">
        <v>164</v>
      </c>
      <c r="J16" s="33" t="s">
        <v>42</v>
      </c>
      <c r="K16" s="118">
        <v>21551.0</v>
      </c>
      <c r="L16" s="119" t="s">
        <v>165</v>
      </c>
      <c r="M16" s="120" t="s">
        <v>80</v>
      </c>
      <c r="N16" s="33" t="s">
        <v>56</v>
      </c>
      <c r="O16" s="120" t="s">
        <v>166</v>
      </c>
      <c r="P16" s="114">
        <v>697260.0</v>
      </c>
      <c r="Q16" s="114">
        <f t="shared" si="1"/>
        <v>15</v>
      </c>
    </row>
    <row r="17" ht="30.0" customHeight="1">
      <c r="A17" s="113" t="s">
        <v>25</v>
      </c>
      <c r="B17" s="114" t="s">
        <v>27</v>
      </c>
      <c r="C17" s="127" t="s">
        <v>54</v>
      </c>
      <c r="D17" s="33" t="s">
        <v>40</v>
      </c>
      <c r="E17" s="115" t="s">
        <v>30</v>
      </c>
      <c r="F17" s="115" t="s">
        <v>29</v>
      </c>
      <c r="G17" s="115" t="s">
        <v>30</v>
      </c>
      <c r="H17" s="136" t="s">
        <v>58</v>
      </c>
      <c r="I17" s="130"/>
      <c r="J17" s="33" t="s">
        <v>42</v>
      </c>
      <c r="K17" s="128">
        <v>20261.0</v>
      </c>
      <c r="L17" s="119" t="s">
        <v>59</v>
      </c>
      <c r="M17" s="120" t="s">
        <v>60</v>
      </c>
      <c r="N17" s="33" t="s">
        <v>56</v>
      </c>
      <c r="O17" s="120" t="s">
        <v>61</v>
      </c>
      <c r="P17" s="114">
        <v>696347.0</v>
      </c>
      <c r="Q17" s="114">
        <f t="shared" si="1"/>
        <v>16</v>
      </c>
    </row>
    <row r="18" ht="30.0" customHeight="1">
      <c r="A18" s="113" t="s">
        <v>25</v>
      </c>
      <c r="B18" s="117" t="s">
        <v>168</v>
      </c>
      <c r="C18" s="115" t="s">
        <v>39</v>
      </c>
      <c r="D18" s="33" t="s">
        <v>40</v>
      </c>
      <c r="E18" s="115" t="s">
        <v>30</v>
      </c>
      <c r="F18" s="115" t="s">
        <v>29</v>
      </c>
      <c r="G18" s="115" t="s">
        <v>30</v>
      </c>
      <c r="H18" s="33" t="s">
        <v>41</v>
      </c>
      <c r="I18" s="130"/>
      <c r="J18" s="33" t="s">
        <v>42</v>
      </c>
      <c r="K18" s="128">
        <v>27784.0</v>
      </c>
      <c r="L18" s="119" t="s">
        <v>169</v>
      </c>
      <c r="M18" s="120" t="s">
        <v>170</v>
      </c>
      <c r="N18" s="33" t="s">
        <v>35</v>
      </c>
      <c r="O18" s="120" t="s">
        <v>171</v>
      </c>
      <c r="P18" s="114">
        <v>697262.0</v>
      </c>
      <c r="Q18" s="114">
        <f t="shared" si="1"/>
        <v>17</v>
      </c>
    </row>
    <row r="19" ht="30.0" customHeight="1">
      <c r="A19" s="113" t="s">
        <v>25</v>
      </c>
      <c r="B19" s="114" t="s">
        <v>53</v>
      </c>
      <c r="C19" s="127" t="s">
        <v>54</v>
      </c>
      <c r="D19" s="33" t="s">
        <v>40</v>
      </c>
      <c r="E19" s="115" t="s">
        <v>30</v>
      </c>
      <c r="F19" s="115" t="s">
        <v>29</v>
      </c>
      <c r="G19" s="115" t="s">
        <v>30</v>
      </c>
      <c r="H19" s="33" t="s">
        <v>63</v>
      </c>
      <c r="I19" s="116" t="s">
        <v>64</v>
      </c>
      <c r="J19" s="33" t="s">
        <v>42</v>
      </c>
      <c r="K19" s="128">
        <v>19786.0</v>
      </c>
      <c r="L19" s="119" t="s">
        <v>65</v>
      </c>
      <c r="M19" s="120" t="s">
        <v>66</v>
      </c>
      <c r="N19" s="33" t="s">
        <v>56</v>
      </c>
      <c r="O19" s="120" t="s">
        <v>67</v>
      </c>
      <c r="P19" s="114">
        <v>633185.0</v>
      </c>
      <c r="Q19" s="114">
        <f t="shared" si="1"/>
        <v>18</v>
      </c>
    </row>
    <row r="20" ht="30.0" customHeight="1">
      <c r="A20" s="113" t="s">
        <v>25</v>
      </c>
      <c r="B20" s="114" t="s">
        <v>69</v>
      </c>
      <c r="C20" s="115" t="s">
        <v>39</v>
      </c>
      <c r="D20" s="33" t="s">
        <v>40</v>
      </c>
      <c r="E20" s="115" t="s">
        <v>30</v>
      </c>
      <c r="F20" s="115" t="s">
        <v>29</v>
      </c>
      <c r="G20" s="115" t="s">
        <v>30</v>
      </c>
      <c r="H20" s="33" t="s">
        <v>48</v>
      </c>
      <c r="I20" s="130"/>
      <c r="J20" s="33" t="s">
        <v>42</v>
      </c>
      <c r="K20" s="128">
        <v>23531.0</v>
      </c>
      <c r="L20" s="119" t="s">
        <v>71</v>
      </c>
      <c r="M20" s="120" t="s">
        <v>72</v>
      </c>
      <c r="N20" s="33" t="s">
        <v>56</v>
      </c>
      <c r="O20" s="120" t="s">
        <v>73</v>
      </c>
      <c r="P20" s="114">
        <v>626887.0</v>
      </c>
      <c r="Q20" s="114">
        <f t="shared" si="1"/>
        <v>19</v>
      </c>
    </row>
    <row r="21" ht="30.0" customHeight="1">
      <c r="A21" s="113" t="s">
        <v>25</v>
      </c>
      <c r="B21" s="114" t="s">
        <v>27</v>
      </c>
      <c r="C21" s="127" t="s">
        <v>54</v>
      </c>
      <c r="D21" s="33" t="s">
        <v>40</v>
      </c>
      <c r="E21" s="115" t="s">
        <v>30</v>
      </c>
      <c r="F21" s="115" t="s">
        <v>29</v>
      </c>
      <c r="G21" s="115" t="s">
        <v>30</v>
      </c>
      <c r="H21" s="33" t="s">
        <v>48</v>
      </c>
      <c r="I21" s="130"/>
      <c r="J21" s="33" t="s">
        <v>42</v>
      </c>
      <c r="K21" s="118">
        <v>19299.0</v>
      </c>
      <c r="L21" s="119" t="s">
        <v>173</v>
      </c>
      <c r="M21" s="120" t="s">
        <v>174</v>
      </c>
      <c r="N21" s="33" t="s">
        <v>56</v>
      </c>
      <c r="O21" s="120" t="s">
        <v>175</v>
      </c>
      <c r="P21" s="114">
        <v>629414.0</v>
      </c>
      <c r="Q21" s="114">
        <f t="shared" si="1"/>
        <v>20</v>
      </c>
    </row>
    <row r="22" ht="30.0" customHeight="1">
      <c r="A22" s="113" t="s">
        <v>25</v>
      </c>
      <c r="B22" s="114" t="s">
        <v>47</v>
      </c>
      <c r="C22" s="115" t="s">
        <v>39</v>
      </c>
      <c r="D22" s="115" t="s">
        <v>29</v>
      </c>
      <c r="E22" s="115" t="s">
        <v>30</v>
      </c>
      <c r="F22" s="115" t="s">
        <v>29</v>
      </c>
      <c r="G22" s="115" t="s">
        <v>30</v>
      </c>
      <c r="H22" s="33" t="s">
        <v>63</v>
      </c>
      <c r="I22" s="135" t="s">
        <v>177</v>
      </c>
      <c r="J22" s="33" t="s">
        <v>42</v>
      </c>
      <c r="K22" s="128">
        <v>22526.0</v>
      </c>
      <c r="L22" s="137" t="s">
        <v>178</v>
      </c>
      <c r="M22" s="120" t="s">
        <v>179</v>
      </c>
      <c r="N22" s="33" t="s">
        <v>56</v>
      </c>
      <c r="O22" s="120" t="s">
        <v>180</v>
      </c>
      <c r="P22" s="114">
        <v>626872.0</v>
      </c>
      <c r="Q22" s="114">
        <f t="shared" si="1"/>
        <v>21</v>
      </c>
    </row>
    <row r="23" ht="30.0" customHeight="1">
      <c r="A23" s="138" t="s">
        <v>25</v>
      </c>
      <c r="B23" s="114" t="s">
        <v>27</v>
      </c>
      <c r="C23" s="127" t="s">
        <v>54</v>
      </c>
      <c r="D23" s="42" t="s">
        <v>40</v>
      </c>
      <c r="E23" s="115" t="s">
        <v>30</v>
      </c>
      <c r="F23" s="115" t="s">
        <v>29</v>
      </c>
      <c r="G23" s="115" t="s">
        <v>30</v>
      </c>
      <c r="H23" s="42" t="s">
        <v>48</v>
      </c>
      <c r="I23" s="139"/>
      <c r="J23" s="42" t="s">
        <v>42</v>
      </c>
      <c r="K23" s="140">
        <v>27546.0</v>
      </c>
      <c r="L23" s="137" t="s">
        <v>181</v>
      </c>
      <c r="M23" s="141" t="s">
        <v>182</v>
      </c>
      <c r="N23" s="42" t="s">
        <v>35</v>
      </c>
      <c r="O23" s="142" t="s">
        <v>183</v>
      </c>
      <c r="P23" s="138">
        <v>696346.0</v>
      </c>
      <c r="Q23" s="138">
        <f t="shared" si="1"/>
        <v>22</v>
      </c>
    </row>
    <row r="24" ht="30.0" customHeight="1">
      <c r="A24" s="138" t="s">
        <v>25</v>
      </c>
      <c r="B24" s="143" t="s">
        <v>75</v>
      </c>
      <c r="C24" s="134" t="s">
        <v>76</v>
      </c>
      <c r="D24" s="42" t="s">
        <v>40</v>
      </c>
      <c r="E24" s="115" t="s">
        <v>30</v>
      </c>
      <c r="F24" s="115" t="s">
        <v>29</v>
      </c>
      <c r="G24" s="115" t="s">
        <v>30</v>
      </c>
      <c r="H24" s="42" t="s">
        <v>41</v>
      </c>
      <c r="I24" s="135" t="s">
        <v>77</v>
      </c>
      <c r="J24" s="42" t="s">
        <v>42</v>
      </c>
      <c r="K24" s="144">
        <v>30189.0</v>
      </c>
      <c r="L24" s="137" t="s">
        <v>78</v>
      </c>
      <c r="M24" s="141" t="s">
        <v>79</v>
      </c>
      <c r="N24" s="42" t="s">
        <v>35</v>
      </c>
      <c r="O24" s="142" t="s">
        <v>80</v>
      </c>
      <c r="P24" s="121">
        <v>699653.0</v>
      </c>
      <c r="Q24" s="138">
        <f t="shared" si="1"/>
        <v>23</v>
      </c>
    </row>
    <row r="25" ht="30.0" customHeight="1">
      <c r="A25" s="138" t="s">
        <v>25</v>
      </c>
      <c r="B25" s="114" t="s">
        <v>27</v>
      </c>
      <c r="C25" s="115" t="s">
        <v>39</v>
      </c>
      <c r="D25" s="42" t="s">
        <v>40</v>
      </c>
      <c r="E25" s="115" t="s">
        <v>30</v>
      </c>
      <c r="F25" s="115" t="s">
        <v>29</v>
      </c>
      <c r="G25" s="115" t="s">
        <v>30</v>
      </c>
      <c r="H25" s="42" t="s">
        <v>41</v>
      </c>
      <c r="I25" s="139"/>
      <c r="J25" s="42" t="s">
        <v>42</v>
      </c>
      <c r="K25" s="140">
        <v>26665.0</v>
      </c>
      <c r="L25" s="145" t="s">
        <v>82</v>
      </c>
      <c r="M25" s="146" t="s">
        <v>83</v>
      </c>
      <c r="N25" s="42" t="s">
        <v>35</v>
      </c>
      <c r="O25" s="142" t="s">
        <v>84</v>
      </c>
      <c r="P25" s="143">
        <v>632609.0</v>
      </c>
      <c r="Q25" s="138">
        <f t="shared" si="1"/>
        <v>24</v>
      </c>
    </row>
    <row r="26" ht="30.0" customHeight="1">
      <c r="A26" s="138" t="s">
        <v>25</v>
      </c>
      <c r="B26" s="114" t="s">
        <v>27</v>
      </c>
      <c r="C26" s="115" t="s">
        <v>39</v>
      </c>
      <c r="D26" s="42" t="s">
        <v>40</v>
      </c>
      <c r="E26" s="115" t="s">
        <v>30</v>
      </c>
      <c r="F26" s="115" t="s">
        <v>29</v>
      </c>
      <c r="G26" s="115" t="s">
        <v>30</v>
      </c>
      <c r="H26" s="42" t="s">
        <v>41</v>
      </c>
      <c r="I26" s="135" t="s">
        <v>185</v>
      </c>
      <c r="J26" s="42" t="s">
        <v>42</v>
      </c>
      <c r="K26" s="140">
        <v>26511.0</v>
      </c>
      <c r="L26" s="147" t="s">
        <v>186</v>
      </c>
      <c r="M26" s="148" t="s">
        <v>187</v>
      </c>
      <c r="N26" s="42" t="s">
        <v>35</v>
      </c>
      <c r="O26" s="142" t="s">
        <v>188</v>
      </c>
      <c r="P26" s="121">
        <v>626847.0</v>
      </c>
      <c r="Q26" s="138">
        <f t="shared" si="1"/>
        <v>25</v>
      </c>
    </row>
    <row r="27" ht="30.0" customHeight="1">
      <c r="A27" s="138" t="s">
        <v>25</v>
      </c>
      <c r="B27" s="121" t="s">
        <v>53</v>
      </c>
      <c r="C27" s="134" t="s">
        <v>76</v>
      </c>
      <c r="D27" s="42" t="s">
        <v>40</v>
      </c>
      <c r="E27" s="115" t="s">
        <v>30</v>
      </c>
      <c r="F27" s="115" t="s">
        <v>29</v>
      </c>
      <c r="G27" s="115" t="s">
        <v>30</v>
      </c>
      <c r="H27" s="42" t="s">
        <v>31</v>
      </c>
      <c r="I27" s="135" t="s">
        <v>86</v>
      </c>
      <c r="J27" s="42" t="s">
        <v>42</v>
      </c>
      <c r="K27" s="140">
        <v>29543.0</v>
      </c>
      <c r="L27" s="137" t="s">
        <v>87</v>
      </c>
      <c r="M27" s="141" t="s">
        <v>88</v>
      </c>
      <c r="N27" s="42" t="s">
        <v>35</v>
      </c>
      <c r="O27" s="149" t="s">
        <v>89</v>
      </c>
      <c r="P27" s="121">
        <v>76290.0</v>
      </c>
      <c r="Q27" s="138">
        <f t="shared" si="1"/>
        <v>26</v>
      </c>
    </row>
    <row r="28" ht="30.0" customHeight="1">
      <c r="A28" s="138" t="s">
        <v>25</v>
      </c>
      <c r="B28" s="121" t="s">
        <v>27</v>
      </c>
      <c r="C28" s="134" t="s">
        <v>76</v>
      </c>
      <c r="D28" s="42" t="s">
        <v>40</v>
      </c>
      <c r="E28" s="115" t="s">
        <v>30</v>
      </c>
      <c r="F28" s="115" t="s">
        <v>29</v>
      </c>
      <c r="G28" s="115" t="s">
        <v>30</v>
      </c>
      <c r="H28" s="33" t="s">
        <v>48</v>
      </c>
      <c r="I28" s="139"/>
      <c r="J28" s="42" t="s">
        <v>42</v>
      </c>
      <c r="K28" s="140">
        <v>25571.0</v>
      </c>
      <c r="L28" s="147" t="s">
        <v>190</v>
      </c>
      <c r="M28" s="148" t="s">
        <v>191</v>
      </c>
      <c r="N28" s="42" t="s">
        <v>35</v>
      </c>
      <c r="O28" s="149" t="s">
        <v>192</v>
      </c>
      <c r="P28" s="121">
        <v>700623.0</v>
      </c>
      <c r="Q28" s="138">
        <f t="shared" si="1"/>
        <v>27</v>
      </c>
    </row>
    <row r="29" ht="30.0" customHeight="1">
      <c r="A29" s="138" t="s">
        <v>25</v>
      </c>
      <c r="B29" s="138" t="s">
        <v>47</v>
      </c>
      <c r="C29" s="134" t="s">
        <v>76</v>
      </c>
      <c r="D29" s="42" t="s">
        <v>40</v>
      </c>
      <c r="E29" s="115" t="s">
        <v>30</v>
      </c>
      <c r="F29" s="115" t="s">
        <v>29</v>
      </c>
      <c r="G29" s="115" t="s">
        <v>30</v>
      </c>
      <c r="H29" s="42" t="s">
        <v>31</v>
      </c>
      <c r="I29" s="150" t="s">
        <v>91</v>
      </c>
      <c r="J29" s="42" t="s">
        <v>42</v>
      </c>
      <c r="K29" s="140">
        <v>22937.0</v>
      </c>
      <c r="L29" s="147" t="s">
        <v>92</v>
      </c>
      <c r="M29" s="148" t="s">
        <v>93</v>
      </c>
      <c r="N29" s="42" t="s">
        <v>56</v>
      </c>
      <c r="O29" s="149" t="s">
        <v>94</v>
      </c>
      <c r="P29" s="143">
        <v>701872.0</v>
      </c>
      <c r="Q29" s="138">
        <f t="shared" si="1"/>
        <v>28</v>
      </c>
    </row>
    <row r="30" ht="30.0" customHeight="1">
      <c r="A30" s="138" t="s">
        <v>25</v>
      </c>
      <c r="B30" s="138" t="s">
        <v>47</v>
      </c>
      <c r="C30" s="134" t="s">
        <v>115</v>
      </c>
      <c r="D30" s="115" t="s">
        <v>29</v>
      </c>
      <c r="E30" s="115" t="s">
        <v>30</v>
      </c>
      <c r="F30" s="115" t="s">
        <v>29</v>
      </c>
      <c r="G30" s="115" t="s">
        <v>30</v>
      </c>
      <c r="H30" s="151" t="s">
        <v>116</v>
      </c>
      <c r="I30" s="150" t="s">
        <v>117</v>
      </c>
      <c r="J30" s="42" t="s">
        <v>42</v>
      </c>
      <c r="K30" s="152">
        <v>28888.0</v>
      </c>
      <c r="L30" s="137" t="s">
        <v>118</v>
      </c>
      <c r="M30" s="141" t="s">
        <v>119</v>
      </c>
      <c r="N30" s="42" t="s">
        <v>35</v>
      </c>
      <c r="O30" s="149" t="s">
        <v>120</v>
      </c>
      <c r="P30" s="143">
        <v>696463.0</v>
      </c>
      <c r="Q30" s="138">
        <f t="shared" si="1"/>
        <v>29</v>
      </c>
    </row>
    <row r="31">
      <c r="E31" s="308"/>
      <c r="H31" s="308"/>
    </row>
    <row r="32">
      <c r="E32" s="308"/>
      <c r="H32" s="308"/>
    </row>
    <row r="33">
      <c r="E33" s="308"/>
      <c r="H33" s="308"/>
    </row>
    <row r="34">
      <c r="E34" s="308"/>
      <c r="H34" s="308"/>
    </row>
    <row r="35">
      <c r="E35" s="308"/>
      <c r="H35" s="308"/>
    </row>
    <row r="36">
      <c r="E36" s="308"/>
      <c r="H36" s="308"/>
    </row>
    <row r="37">
      <c r="E37" s="308"/>
      <c r="H37" s="308"/>
    </row>
    <row r="38">
      <c r="E38" s="308"/>
      <c r="H38" s="308"/>
    </row>
    <row r="39">
      <c r="E39" s="308"/>
      <c r="H39" s="308"/>
    </row>
    <row r="40">
      <c r="E40" s="308"/>
      <c r="H40" s="308"/>
    </row>
    <row r="41">
      <c r="E41" s="308"/>
      <c r="H41" s="308"/>
    </row>
    <row r="42">
      <c r="E42" s="308"/>
      <c r="H42" s="308"/>
    </row>
    <row r="43">
      <c r="E43" s="308"/>
      <c r="H43" s="308"/>
    </row>
    <row r="44">
      <c r="E44" s="308"/>
      <c r="H44" s="308"/>
    </row>
    <row r="45">
      <c r="E45" s="308"/>
      <c r="H45" s="308"/>
    </row>
    <row r="46">
      <c r="E46" s="308"/>
      <c r="H46" s="308"/>
    </row>
    <row r="47">
      <c r="E47" s="308"/>
      <c r="H47" s="308"/>
    </row>
    <row r="48">
      <c r="E48" s="308"/>
      <c r="H48" s="308"/>
    </row>
    <row r="49">
      <c r="E49" s="308"/>
      <c r="H49" s="308"/>
    </row>
    <row r="50">
      <c r="E50" s="308"/>
      <c r="H50" s="308"/>
    </row>
    <row r="51">
      <c r="E51" s="308"/>
      <c r="H51" s="308"/>
    </row>
    <row r="52">
      <c r="E52" s="308"/>
      <c r="H52" s="308"/>
    </row>
    <row r="53">
      <c r="E53" s="308"/>
      <c r="H53" s="308"/>
    </row>
    <row r="54">
      <c r="E54" s="308"/>
      <c r="H54" s="308"/>
    </row>
    <row r="55">
      <c r="E55" s="308"/>
      <c r="H55" s="308"/>
    </row>
    <row r="56">
      <c r="E56" s="308"/>
      <c r="H56" s="308"/>
    </row>
    <row r="57">
      <c r="E57" s="308"/>
      <c r="H57" s="308"/>
    </row>
    <row r="58">
      <c r="E58" s="308"/>
      <c r="H58" s="308"/>
    </row>
    <row r="59">
      <c r="E59" s="308"/>
      <c r="H59" s="308"/>
    </row>
    <row r="60">
      <c r="E60" s="308"/>
      <c r="H60" s="308"/>
    </row>
    <row r="61">
      <c r="E61" s="308"/>
      <c r="H61" s="308"/>
    </row>
    <row r="62">
      <c r="E62" s="308"/>
      <c r="H62" s="308"/>
    </row>
    <row r="63">
      <c r="E63" s="308"/>
      <c r="H63" s="308"/>
    </row>
    <row r="64">
      <c r="E64" s="308"/>
      <c r="H64" s="308"/>
    </row>
    <row r="65">
      <c r="E65" s="308"/>
      <c r="H65" s="308"/>
    </row>
    <row r="66">
      <c r="E66" s="308"/>
      <c r="H66" s="308"/>
    </row>
    <row r="67">
      <c r="E67" s="308"/>
      <c r="H67" s="308"/>
    </row>
    <row r="68">
      <c r="E68" s="308"/>
      <c r="H68" s="308"/>
    </row>
    <row r="69">
      <c r="E69" s="308"/>
      <c r="H69" s="308"/>
    </row>
    <row r="70">
      <c r="E70" s="308"/>
      <c r="H70" s="308"/>
    </row>
    <row r="71">
      <c r="E71" s="308"/>
      <c r="H71" s="308"/>
    </row>
    <row r="72">
      <c r="E72" s="308"/>
      <c r="H72" s="308"/>
    </row>
    <row r="73">
      <c r="E73" s="308"/>
      <c r="H73" s="308"/>
    </row>
    <row r="74">
      <c r="E74" s="308"/>
      <c r="H74" s="308"/>
    </row>
    <row r="75">
      <c r="E75" s="308"/>
      <c r="H75" s="308"/>
    </row>
    <row r="76">
      <c r="E76" s="308"/>
      <c r="H76" s="308"/>
    </row>
    <row r="77">
      <c r="E77" s="308"/>
      <c r="H77" s="308"/>
    </row>
    <row r="78">
      <c r="E78" s="308"/>
      <c r="H78" s="308"/>
    </row>
    <row r="79">
      <c r="E79" s="308"/>
      <c r="H79" s="308"/>
    </row>
    <row r="80">
      <c r="E80" s="308"/>
      <c r="H80" s="308"/>
    </row>
    <row r="81">
      <c r="E81" s="308"/>
      <c r="H81" s="308"/>
    </row>
    <row r="82">
      <c r="E82" s="308"/>
      <c r="H82" s="308"/>
    </row>
    <row r="83">
      <c r="E83" s="308"/>
      <c r="H83" s="308"/>
    </row>
    <row r="84">
      <c r="E84" s="308"/>
      <c r="H84" s="308"/>
    </row>
    <row r="85">
      <c r="E85" s="308"/>
      <c r="H85" s="308"/>
    </row>
    <row r="86">
      <c r="E86" s="308"/>
      <c r="H86" s="308"/>
    </row>
    <row r="87">
      <c r="E87" s="308"/>
      <c r="H87" s="308"/>
    </row>
    <row r="88">
      <c r="E88" s="308"/>
      <c r="H88" s="308"/>
    </row>
    <row r="89">
      <c r="E89" s="308"/>
      <c r="H89" s="308"/>
    </row>
    <row r="90">
      <c r="E90" s="308"/>
      <c r="H90" s="308"/>
    </row>
    <row r="91">
      <c r="E91" s="308"/>
      <c r="H91" s="308"/>
    </row>
    <row r="92">
      <c r="E92" s="308"/>
      <c r="H92" s="308"/>
    </row>
    <row r="93">
      <c r="E93" s="308"/>
      <c r="H93" s="308"/>
    </row>
    <row r="94">
      <c r="E94" s="308"/>
      <c r="H94" s="308"/>
    </row>
    <row r="95">
      <c r="E95" s="308"/>
      <c r="H95" s="308"/>
    </row>
    <row r="96">
      <c r="E96" s="308"/>
      <c r="H96" s="308"/>
    </row>
    <row r="97">
      <c r="E97" s="308"/>
      <c r="H97" s="308"/>
    </row>
    <row r="98">
      <c r="E98" s="308"/>
      <c r="H98" s="308"/>
    </row>
    <row r="99">
      <c r="E99" s="308"/>
      <c r="H99" s="308"/>
    </row>
    <row r="100">
      <c r="E100" s="308"/>
      <c r="H100" s="308"/>
    </row>
    <row r="101">
      <c r="E101" s="308"/>
      <c r="H101" s="308"/>
    </row>
    <row r="102">
      <c r="E102" s="308"/>
      <c r="H102" s="308"/>
    </row>
    <row r="103">
      <c r="E103" s="308"/>
      <c r="H103" s="308"/>
    </row>
    <row r="104">
      <c r="E104" s="308"/>
      <c r="H104" s="308"/>
    </row>
    <row r="105">
      <c r="E105" s="308"/>
      <c r="H105" s="308"/>
    </row>
    <row r="106">
      <c r="E106" s="308"/>
      <c r="H106" s="308"/>
    </row>
    <row r="107">
      <c r="E107" s="308"/>
      <c r="H107" s="308"/>
    </row>
    <row r="108">
      <c r="E108" s="308"/>
      <c r="H108" s="308"/>
    </row>
    <row r="109">
      <c r="E109" s="308"/>
      <c r="H109" s="308"/>
    </row>
    <row r="110">
      <c r="E110" s="308"/>
      <c r="H110" s="308"/>
    </row>
    <row r="111">
      <c r="E111" s="308"/>
      <c r="H111" s="308"/>
    </row>
    <row r="112">
      <c r="E112" s="308"/>
      <c r="H112" s="308"/>
    </row>
    <row r="113">
      <c r="E113" s="308"/>
      <c r="H113" s="308"/>
    </row>
    <row r="114">
      <c r="E114" s="308"/>
      <c r="H114" s="308"/>
    </row>
    <row r="115">
      <c r="E115" s="308"/>
      <c r="H115" s="308"/>
    </row>
    <row r="116">
      <c r="E116" s="308"/>
      <c r="H116" s="308"/>
    </row>
    <row r="117">
      <c r="E117" s="308"/>
      <c r="H117" s="308"/>
    </row>
    <row r="118">
      <c r="E118" s="308"/>
      <c r="H118" s="308"/>
    </row>
    <row r="119">
      <c r="E119" s="308"/>
      <c r="H119" s="308"/>
    </row>
    <row r="120">
      <c r="E120" s="308"/>
      <c r="H120" s="308"/>
    </row>
    <row r="121">
      <c r="E121" s="308"/>
      <c r="H121" s="308"/>
    </row>
    <row r="122">
      <c r="E122" s="308"/>
      <c r="H122" s="308"/>
    </row>
    <row r="123">
      <c r="E123" s="308"/>
      <c r="H123" s="308"/>
    </row>
    <row r="124">
      <c r="E124" s="308"/>
      <c r="H124" s="308"/>
    </row>
    <row r="125">
      <c r="E125" s="308"/>
      <c r="H125" s="308"/>
    </row>
    <row r="126">
      <c r="E126" s="308"/>
      <c r="H126" s="308"/>
    </row>
    <row r="127">
      <c r="E127" s="308"/>
      <c r="H127" s="308"/>
    </row>
    <row r="128">
      <c r="E128" s="308"/>
      <c r="H128" s="308"/>
    </row>
    <row r="129">
      <c r="E129" s="308"/>
      <c r="H129" s="308"/>
    </row>
    <row r="130">
      <c r="E130" s="308"/>
      <c r="H130" s="308"/>
    </row>
    <row r="131">
      <c r="E131" s="308"/>
      <c r="H131" s="308"/>
    </row>
    <row r="132">
      <c r="E132" s="308"/>
      <c r="H132" s="308"/>
    </row>
    <row r="133">
      <c r="E133" s="308"/>
      <c r="H133" s="308"/>
    </row>
    <row r="134">
      <c r="E134" s="308"/>
      <c r="H134" s="308"/>
    </row>
    <row r="135">
      <c r="E135" s="308"/>
      <c r="H135" s="308"/>
    </row>
    <row r="136">
      <c r="E136" s="308"/>
      <c r="H136" s="308"/>
    </row>
    <row r="137">
      <c r="E137" s="308"/>
      <c r="H137" s="308"/>
    </row>
    <row r="138">
      <c r="E138" s="308"/>
      <c r="H138" s="308"/>
    </row>
    <row r="139">
      <c r="E139" s="308"/>
      <c r="H139" s="308"/>
    </row>
    <row r="140">
      <c r="E140" s="308"/>
      <c r="H140" s="308"/>
    </row>
    <row r="141">
      <c r="E141" s="308"/>
      <c r="H141" s="308"/>
    </row>
    <row r="142">
      <c r="E142" s="308"/>
      <c r="H142" s="308"/>
    </row>
    <row r="143">
      <c r="E143" s="308"/>
      <c r="H143" s="308"/>
    </row>
    <row r="144">
      <c r="E144" s="308"/>
      <c r="H144" s="308"/>
    </row>
    <row r="145">
      <c r="E145" s="308"/>
      <c r="H145" s="308"/>
    </row>
    <row r="146">
      <c r="E146" s="308"/>
      <c r="H146" s="308"/>
    </row>
    <row r="147">
      <c r="E147" s="308"/>
      <c r="H147" s="308"/>
    </row>
    <row r="148">
      <c r="E148" s="308"/>
      <c r="H148" s="308"/>
    </row>
    <row r="149">
      <c r="E149" s="308"/>
      <c r="H149" s="308"/>
    </row>
    <row r="150">
      <c r="E150" s="308"/>
      <c r="H150" s="308"/>
    </row>
    <row r="151">
      <c r="E151" s="308"/>
      <c r="H151" s="308"/>
    </row>
    <row r="152">
      <c r="E152" s="308"/>
      <c r="H152" s="308"/>
    </row>
    <row r="153">
      <c r="E153" s="308"/>
      <c r="H153" s="308"/>
    </row>
    <row r="154">
      <c r="E154" s="308"/>
      <c r="H154" s="308"/>
    </row>
    <row r="155">
      <c r="E155" s="308"/>
      <c r="H155" s="308"/>
    </row>
    <row r="156">
      <c r="E156" s="308"/>
      <c r="H156" s="308"/>
    </row>
    <row r="157">
      <c r="E157" s="308"/>
      <c r="H157" s="308"/>
    </row>
    <row r="158">
      <c r="E158" s="308"/>
      <c r="H158" s="308"/>
    </row>
    <row r="159">
      <c r="E159" s="308"/>
      <c r="H159" s="308"/>
    </row>
    <row r="160">
      <c r="E160" s="308"/>
      <c r="H160" s="308"/>
    </row>
    <row r="161">
      <c r="E161" s="308"/>
      <c r="H161" s="308"/>
    </row>
    <row r="162">
      <c r="E162" s="308"/>
      <c r="H162" s="308"/>
    </row>
    <row r="163">
      <c r="E163" s="308"/>
      <c r="H163" s="308"/>
    </row>
    <row r="164">
      <c r="E164" s="308"/>
      <c r="H164" s="308"/>
    </row>
    <row r="165">
      <c r="E165" s="308"/>
      <c r="H165" s="308"/>
    </row>
    <row r="166">
      <c r="E166" s="308"/>
      <c r="H166" s="308"/>
    </row>
    <row r="167">
      <c r="E167" s="308"/>
      <c r="H167" s="308"/>
    </row>
    <row r="168">
      <c r="E168" s="308"/>
      <c r="H168" s="308"/>
    </row>
    <row r="169">
      <c r="E169" s="308"/>
      <c r="H169" s="308"/>
    </row>
    <row r="170">
      <c r="E170" s="308"/>
      <c r="H170" s="308"/>
    </row>
    <row r="171">
      <c r="E171" s="308"/>
      <c r="H171" s="308"/>
    </row>
    <row r="172">
      <c r="E172" s="308"/>
      <c r="H172" s="308"/>
    </row>
    <row r="173">
      <c r="E173" s="308"/>
      <c r="H173" s="308"/>
    </row>
    <row r="174">
      <c r="E174" s="308"/>
      <c r="H174" s="308"/>
    </row>
    <row r="175">
      <c r="E175" s="308"/>
      <c r="H175" s="308"/>
    </row>
    <row r="176">
      <c r="E176" s="308"/>
      <c r="H176" s="308"/>
    </row>
    <row r="177">
      <c r="E177" s="308"/>
      <c r="H177" s="308"/>
    </row>
    <row r="178">
      <c r="E178" s="308"/>
      <c r="H178" s="308"/>
    </row>
    <row r="179">
      <c r="E179" s="308"/>
      <c r="H179" s="308"/>
    </row>
    <row r="180">
      <c r="E180" s="308"/>
      <c r="H180" s="308"/>
    </row>
    <row r="181">
      <c r="E181" s="308"/>
      <c r="H181" s="308"/>
    </row>
    <row r="182">
      <c r="E182" s="308"/>
      <c r="H182" s="308"/>
    </row>
    <row r="183">
      <c r="E183" s="308"/>
      <c r="H183" s="308"/>
    </row>
    <row r="184">
      <c r="E184" s="308"/>
      <c r="H184" s="308"/>
    </row>
    <row r="185">
      <c r="E185" s="308"/>
      <c r="H185" s="308"/>
    </row>
    <row r="186">
      <c r="E186" s="308"/>
      <c r="H186" s="308"/>
    </row>
    <row r="187">
      <c r="E187" s="308"/>
      <c r="H187" s="308"/>
    </row>
    <row r="188">
      <c r="E188" s="308"/>
      <c r="H188" s="308"/>
    </row>
    <row r="189">
      <c r="E189" s="308"/>
      <c r="H189" s="308"/>
    </row>
    <row r="190">
      <c r="E190" s="308"/>
      <c r="H190" s="308"/>
    </row>
    <row r="191">
      <c r="E191" s="308"/>
      <c r="H191" s="308"/>
    </row>
    <row r="192">
      <c r="E192" s="308"/>
      <c r="H192" s="308"/>
    </row>
    <row r="193">
      <c r="E193" s="308"/>
      <c r="H193" s="308"/>
    </row>
    <row r="194">
      <c r="E194" s="308"/>
      <c r="H194" s="308"/>
    </row>
    <row r="195">
      <c r="E195" s="308"/>
      <c r="H195" s="308"/>
    </row>
    <row r="196">
      <c r="E196" s="308"/>
      <c r="H196" s="308"/>
    </row>
    <row r="197">
      <c r="E197" s="308"/>
      <c r="H197" s="308"/>
    </row>
    <row r="198">
      <c r="E198" s="308"/>
      <c r="H198" s="308"/>
    </row>
    <row r="199">
      <c r="E199" s="308"/>
      <c r="H199" s="308"/>
    </row>
    <row r="200">
      <c r="E200" s="308"/>
      <c r="H200" s="308"/>
    </row>
    <row r="201">
      <c r="E201" s="308"/>
      <c r="H201" s="308"/>
    </row>
    <row r="202">
      <c r="E202" s="308"/>
      <c r="H202" s="308"/>
    </row>
    <row r="203">
      <c r="E203" s="308"/>
      <c r="H203" s="308"/>
    </row>
    <row r="204">
      <c r="E204" s="308"/>
      <c r="H204" s="308"/>
    </row>
    <row r="205">
      <c r="E205" s="308"/>
      <c r="H205" s="308"/>
    </row>
    <row r="206">
      <c r="E206" s="308"/>
      <c r="H206" s="308"/>
    </row>
    <row r="207">
      <c r="E207" s="308"/>
      <c r="H207" s="308"/>
    </row>
    <row r="208">
      <c r="E208" s="308"/>
      <c r="H208" s="308"/>
    </row>
    <row r="209">
      <c r="E209" s="308"/>
      <c r="H209" s="308"/>
    </row>
    <row r="210">
      <c r="E210" s="308"/>
      <c r="H210" s="308"/>
    </row>
    <row r="211">
      <c r="E211" s="308"/>
      <c r="H211" s="308"/>
    </row>
    <row r="212">
      <c r="E212" s="308"/>
      <c r="H212" s="308"/>
    </row>
    <row r="213">
      <c r="E213" s="308"/>
      <c r="H213" s="308"/>
    </row>
    <row r="214">
      <c r="E214" s="308"/>
      <c r="H214" s="308"/>
    </row>
    <row r="215">
      <c r="E215" s="308"/>
      <c r="H215" s="308"/>
    </row>
    <row r="216">
      <c r="E216" s="308"/>
      <c r="H216" s="308"/>
    </row>
    <row r="217">
      <c r="E217" s="308"/>
      <c r="H217" s="308"/>
    </row>
    <row r="218">
      <c r="E218" s="308"/>
      <c r="H218" s="308"/>
    </row>
    <row r="219">
      <c r="E219" s="308"/>
      <c r="H219" s="308"/>
    </row>
    <row r="220">
      <c r="E220" s="308"/>
      <c r="H220" s="308"/>
    </row>
    <row r="221">
      <c r="E221" s="308"/>
      <c r="H221" s="308"/>
    </row>
    <row r="222">
      <c r="E222" s="308"/>
      <c r="H222" s="308"/>
    </row>
    <row r="223">
      <c r="E223" s="308"/>
      <c r="H223" s="308"/>
    </row>
    <row r="224">
      <c r="E224" s="308"/>
      <c r="H224" s="308"/>
    </row>
    <row r="225">
      <c r="E225" s="308"/>
      <c r="H225" s="308"/>
    </row>
    <row r="226">
      <c r="E226" s="308"/>
      <c r="H226" s="308"/>
    </row>
    <row r="227">
      <c r="E227" s="308"/>
      <c r="H227" s="308"/>
    </row>
    <row r="228">
      <c r="E228" s="308"/>
      <c r="H228" s="308"/>
    </row>
    <row r="229">
      <c r="E229" s="308"/>
      <c r="H229" s="308"/>
    </row>
    <row r="230">
      <c r="E230" s="308"/>
      <c r="H230" s="308"/>
    </row>
    <row r="231">
      <c r="E231" s="308"/>
      <c r="H231" s="308"/>
    </row>
    <row r="232">
      <c r="E232" s="308"/>
      <c r="H232" s="308"/>
    </row>
    <row r="233">
      <c r="E233" s="308"/>
      <c r="H233" s="308"/>
    </row>
    <row r="234">
      <c r="E234" s="308"/>
      <c r="H234" s="308"/>
    </row>
    <row r="235">
      <c r="E235" s="308"/>
      <c r="H235" s="308"/>
    </row>
    <row r="236">
      <c r="E236" s="308"/>
      <c r="H236" s="308"/>
    </row>
    <row r="237">
      <c r="E237" s="308"/>
      <c r="H237" s="308"/>
    </row>
    <row r="238">
      <c r="E238" s="308"/>
      <c r="H238" s="308"/>
    </row>
    <row r="239">
      <c r="E239" s="308"/>
      <c r="H239" s="308"/>
    </row>
    <row r="240">
      <c r="E240" s="308"/>
      <c r="H240" s="308"/>
    </row>
    <row r="241">
      <c r="E241" s="308"/>
      <c r="H241" s="308"/>
    </row>
    <row r="242">
      <c r="E242" s="308"/>
      <c r="H242" s="308"/>
    </row>
    <row r="243">
      <c r="E243" s="308"/>
      <c r="H243" s="308"/>
    </row>
    <row r="244">
      <c r="E244" s="308"/>
      <c r="H244" s="308"/>
    </row>
    <row r="245">
      <c r="E245" s="308"/>
      <c r="H245" s="308"/>
    </row>
    <row r="246">
      <c r="E246" s="308"/>
      <c r="H246" s="308"/>
    </row>
    <row r="247">
      <c r="E247" s="308"/>
      <c r="H247" s="308"/>
    </row>
    <row r="248">
      <c r="E248" s="308"/>
      <c r="H248" s="308"/>
    </row>
    <row r="249">
      <c r="E249" s="308"/>
      <c r="H249" s="308"/>
    </row>
    <row r="250">
      <c r="E250" s="308"/>
      <c r="H250" s="308"/>
    </row>
    <row r="251">
      <c r="E251" s="308"/>
      <c r="H251" s="308"/>
    </row>
    <row r="252">
      <c r="E252" s="308"/>
      <c r="H252" s="308"/>
    </row>
    <row r="253">
      <c r="E253" s="308"/>
      <c r="H253" s="308"/>
    </row>
    <row r="254">
      <c r="E254" s="308"/>
      <c r="H254" s="308"/>
    </row>
    <row r="255">
      <c r="E255" s="308"/>
      <c r="H255" s="308"/>
    </row>
    <row r="256">
      <c r="E256" s="308"/>
      <c r="H256" s="308"/>
    </row>
    <row r="257">
      <c r="E257" s="308"/>
      <c r="H257" s="308"/>
    </row>
    <row r="258">
      <c r="E258" s="308"/>
      <c r="H258" s="308"/>
    </row>
    <row r="259">
      <c r="E259" s="308"/>
      <c r="H259" s="308"/>
    </row>
    <row r="260">
      <c r="E260" s="308"/>
      <c r="H260" s="308"/>
    </row>
    <row r="261">
      <c r="E261" s="308"/>
      <c r="H261" s="308"/>
    </row>
    <row r="262">
      <c r="E262" s="308"/>
      <c r="H262" s="308"/>
    </row>
    <row r="263">
      <c r="E263" s="308"/>
      <c r="H263" s="308"/>
    </row>
    <row r="264">
      <c r="E264" s="308"/>
      <c r="H264" s="308"/>
    </row>
    <row r="265">
      <c r="E265" s="308"/>
      <c r="H265" s="308"/>
    </row>
    <row r="266">
      <c r="E266" s="308"/>
      <c r="H266" s="308"/>
    </row>
    <row r="267">
      <c r="E267" s="308"/>
      <c r="H267" s="308"/>
    </row>
    <row r="268">
      <c r="E268" s="308"/>
      <c r="H268" s="308"/>
    </row>
    <row r="269">
      <c r="E269" s="308"/>
      <c r="H269" s="308"/>
    </row>
    <row r="270">
      <c r="E270" s="308"/>
      <c r="H270" s="308"/>
    </row>
    <row r="271">
      <c r="E271" s="308"/>
      <c r="H271" s="308"/>
    </row>
    <row r="272">
      <c r="E272" s="308"/>
      <c r="H272" s="308"/>
    </row>
    <row r="273">
      <c r="E273" s="308"/>
      <c r="H273" s="308"/>
    </row>
    <row r="274">
      <c r="E274" s="308"/>
      <c r="H274" s="308"/>
    </row>
    <row r="275">
      <c r="E275" s="308"/>
      <c r="H275" s="308"/>
    </row>
    <row r="276">
      <c r="E276" s="308"/>
      <c r="H276" s="308"/>
    </row>
    <row r="277">
      <c r="E277" s="308"/>
      <c r="H277" s="308"/>
    </row>
    <row r="278">
      <c r="E278" s="308"/>
      <c r="H278" s="308"/>
    </row>
    <row r="279">
      <c r="E279" s="308"/>
      <c r="H279" s="308"/>
    </row>
    <row r="280">
      <c r="E280" s="308"/>
      <c r="H280" s="308"/>
    </row>
    <row r="281">
      <c r="E281" s="308"/>
      <c r="H281" s="308"/>
    </row>
    <row r="282">
      <c r="E282" s="308"/>
      <c r="H282" s="308"/>
    </row>
    <row r="283">
      <c r="E283" s="308"/>
      <c r="H283" s="308"/>
    </row>
    <row r="284">
      <c r="E284" s="308"/>
      <c r="H284" s="308"/>
    </row>
    <row r="285">
      <c r="E285" s="308"/>
      <c r="H285" s="308"/>
    </row>
    <row r="286">
      <c r="E286" s="308"/>
      <c r="H286" s="308"/>
    </row>
    <row r="287">
      <c r="E287" s="308"/>
      <c r="H287" s="308"/>
    </row>
    <row r="288">
      <c r="E288" s="308"/>
      <c r="H288" s="308"/>
    </row>
    <row r="289">
      <c r="E289" s="308"/>
      <c r="H289" s="308"/>
    </row>
    <row r="290">
      <c r="E290" s="308"/>
      <c r="H290" s="308"/>
    </row>
    <row r="291">
      <c r="E291" s="308"/>
      <c r="H291" s="308"/>
    </row>
    <row r="292">
      <c r="E292" s="308"/>
      <c r="H292" s="308"/>
    </row>
    <row r="293">
      <c r="E293" s="308"/>
      <c r="H293" s="308"/>
    </row>
    <row r="294">
      <c r="E294" s="308"/>
      <c r="H294" s="308"/>
    </row>
    <row r="295">
      <c r="E295" s="308"/>
      <c r="H295" s="308"/>
    </row>
    <row r="296">
      <c r="E296" s="308"/>
      <c r="H296" s="308"/>
    </row>
    <row r="297">
      <c r="E297" s="308"/>
      <c r="H297" s="308"/>
    </row>
    <row r="298">
      <c r="E298" s="308"/>
      <c r="H298" s="308"/>
    </row>
    <row r="299">
      <c r="E299" s="308"/>
      <c r="H299" s="308"/>
    </row>
    <row r="300">
      <c r="E300" s="308"/>
      <c r="H300" s="308"/>
    </row>
    <row r="301">
      <c r="E301" s="308"/>
      <c r="H301" s="308"/>
    </row>
    <row r="302">
      <c r="E302" s="308"/>
      <c r="H302" s="308"/>
    </row>
    <row r="303">
      <c r="E303" s="308"/>
      <c r="H303" s="308"/>
    </row>
    <row r="304">
      <c r="E304" s="308"/>
      <c r="H304" s="308"/>
    </row>
    <row r="305">
      <c r="E305" s="308"/>
      <c r="H305" s="308"/>
    </row>
    <row r="306">
      <c r="E306" s="308"/>
      <c r="H306" s="308"/>
    </row>
    <row r="307">
      <c r="E307" s="308"/>
      <c r="H307" s="308"/>
    </row>
    <row r="308">
      <c r="E308" s="308"/>
      <c r="H308" s="308"/>
    </row>
    <row r="309">
      <c r="E309" s="308"/>
      <c r="H309" s="308"/>
    </row>
    <row r="310">
      <c r="E310" s="308"/>
      <c r="H310" s="308"/>
    </row>
    <row r="311">
      <c r="E311" s="308"/>
      <c r="H311" s="308"/>
    </row>
    <row r="312">
      <c r="E312" s="308"/>
      <c r="H312" s="308"/>
    </row>
    <row r="313">
      <c r="E313" s="308"/>
      <c r="H313" s="308"/>
    </row>
    <row r="314">
      <c r="E314" s="308"/>
      <c r="H314" s="308"/>
    </row>
    <row r="315">
      <c r="E315" s="308"/>
      <c r="H315" s="308"/>
    </row>
    <row r="316">
      <c r="E316" s="308"/>
      <c r="H316" s="308"/>
    </row>
    <row r="317">
      <c r="E317" s="308"/>
      <c r="H317" s="308"/>
    </row>
    <row r="318">
      <c r="E318" s="308"/>
      <c r="H318" s="308"/>
    </row>
    <row r="319">
      <c r="E319" s="308"/>
      <c r="H319" s="308"/>
    </row>
    <row r="320">
      <c r="E320" s="308"/>
      <c r="H320" s="308"/>
    </row>
    <row r="321">
      <c r="E321" s="308"/>
      <c r="H321" s="308"/>
    </row>
    <row r="322">
      <c r="E322" s="308"/>
      <c r="H322" s="308"/>
    </row>
    <row r="323">
      <c r="E323" s="308"/>
      <c r="H323" s="308"/>
    </row>
    <row r="324">
      <c r="E324" s="308"/>
      <c r="H324" s="308"/>
    </row>
    <row r="325">
      <c r="E325" s="308"/>
      <c r="H325" s="308"/>
    </row>
    <row r="326">
      <c r="E326" s="308"/>
      <c r="H326" s="308"/>
    </row>
    <row r="327">
      <c r="E327" s="308"/>
      <c r="H327" s="308"/>
    </row>
    <row r="328">
      <c r="E328" s="308"/>
      <c r="H328" s="308"/>
    </row>
    <row r="329">
      <c r="E329" s="308"/>
      <c r="H329" s="308"/>
    </row>
    <row r="330">
      <c r="E330" s="308"/>
      <c r="H330" s="308"/>
    </row>
    <row r="331">
      <c r="E331" s="308"/>
      <c r="H331" s="308"/>
    </row>
    <row r="332">
      <c r="E332" s="308"/>
      <c r="H332" s="308"/>
    </row>
    <row r="333">
      <c r="E333" s="308"/>
      <c r="H333" s="308"/>
    </row>
    <row r="334">
      <c r="E334" s="308"/>
      <c r="H334" s="308"/>
    </row>
    <row r="335">
      <c r="E335" s="308"/>
      <c r="H335" s="308"/>
    </row>
    <row r="336">
      <c r="E336" s="308"/>
      <c r="H336" s="308"/>
    </row>
    <row r="337">
      <c r="E337" s="308"/>
      <c r="H337" s="308"/>
    </row>
    <row r="338">
      <c r="E338" s="308"/>
      <c r="H338" s="308"/>
    </row>
    <row r="339">
      <c r="E339" s="308"/>
      <c r="H339" s="308"/>
    </row>
    <row r="340">
      <c r="E340" s="308"/>
      <c r="H340" s="308"/>
    </row>
    <row r="341">
      <c r="E341" s="308"/>
      <c r="H341" s="308"/>
    </row>
    <row r="342">
      <c r="E342" s="308"/>
      <c r="H342" s="308"/>
    </row>
    <row r="343">
      <c r="E343" s="308"/>
      <c r="H343" s="308"/>
    </row>
    <row r="344">
      <c r="E344" s="308"/>
      <c r="H344" s="308"/>
    </row>
    <row r="345">
      <c r="E345" s="308"/>
      <c r="H345" s="308"/>
    </row>
    <row r="346">
      <c r="E346" s="308"/>
      <c r="H346" s="308"/>
    </row>
    <row r="347">
      <c r="E347" s="308"/>
      <c r="H347" s="308"/>
    </row>
    <row r="348">
      <c r="E348" s="308"/>
      <c r="H348" s="308"/>
    </row>
    <row r="349">
      <c r="E349" s="308"/>
      <c r="H349" s="308"/>
    </row>
    <row r="350">
      <c r="E350" s="308"/>
      <c r="H350" s="308"/>
    </row>
    <row r="351">
      <c r="E351" s="308"/>
      <c r="H351" s="308"/>
    </row>
    <row r="352">
      <c r="E352" s="308"/>
      <c r="H352" s="308"/>
    </row>
    <row r="353">
      <c r="E353" s="308"/>
      <c r="H353" s="308"/>
    </row>
    <row r="354">
      <c r="E354" s="308"/>
      <c r="H354" s="308"/>
    </row>
    <row r="355">
      <c r="E355" s="308"/>
      <c r="H355" s="308"/>
    </row>
    <row r="356">
      <c r="E356" s="308"/>
      <c r="H356" s="308"/>
    </row>
    <row r="357">
      <c r="E357" s="308"/>
      <c r="H357" s="308"/>
    </row>
    <row r="358">
      <c r="E358" s="308"/>
      <c r="H358" s="308"/>
    </row>
    <row r="359">
      <c r="E359" s="308"/>
      <c r="H359" s="308"/>
    </row>
    <row r="360">
      <c r="E360" s="308"/>
      <c r="H360" s="308"/>
    </row>
    <row r="361">
      <c r="E361" s="308"/>
      <c r="H361" s="308"/>
    </row>
    <row r="362">
      <c r="E362" s="308"/>
      <c r="H362" s="308"/>
    </row>
    <row r="363">
      <c r="E363" s="308"/>
      <c r="H363" s="308"/>
    </row>
    <row r="364">
      <c r="E364" s="308"/>
      <c r="H364" s="308"/>
    </row>
    <row r="365">
      <c r="E365" s="308"/>
      <c r="H365" s="308"/>
    </row>
    <row r="366">
      <c r="E366" s="308"/>
      <c r="H366" s="308"/>
    </row>
    <row r="367">
      <c r="E367" s="308"/>
      <c r="H367" s="308"/>
    </row>
    <row r="368">
      <c r="E368" s="308"/>
      <c r="H368" s="308"/>
    </row>
    <row r="369">
      <c r="E369" s="308"/>
      <c r="H369" s="308"/>
    </row>
    <row r="370">
      <c r="E370" s="308"/>
      <c r="H370" s="308"/>
    </row>
    <row r="371">
      <c r="E371" s="308"/>
      <c r="H371" s="308"/>
    </row>
    <row r="372">
      <c r="E372" s="308"/>
      <c r="H372" s="308"/>
    </row>
    <row r="373">
      <c r="E373" s="308"/>
      <c r="H373" s="308"/>
    </row>
    <row r="374">
      <c r="E374" s="308"/>
      <c r="H374" s="308"/>
    </row>
    <row r="375">
      <c r="E375" s="308"/>
      <c r="H375" s="308"/>
    </row>
    <row r="376">
      <c r="E376" s="308"/>
      <c r="H376" s="308"/>
    </row>
    <row r="377">
      <c r="E377" s="308"/>
      <c r="H377" s="308"/>
    </row>
    <row r="378">
      <c r="E378" s="308"/>
      <c r="H378" s="308"/>
    </row>
    <row r="379">
      <c r="E379" s="308"/>
      <c r="H379" s="308"/>
    </row>
    <row r="380">
      <c r="E380" s="308"/>
      <c r="H380" s="308"/>
    </row>
    <row r="381">
      <c r="E381" s="308"/>
      <c r="H381" s="308"/>
    </row>
    <row r="382">
      <c r="E382" s="308"/>
      <c r="H382" s="308"/>
    </row>
    <row r="383">
      <c r="E383" s="308"/>
      <c r="H383" s="308"/>
    </row>
    <row r="384">
      <c r="E384" s="308"/>
      <c r="H384" s="308"/>
    </row>
    <row r="385">
      <c r="E385" s="308"/>
      <c r="H385" s="308"/>
    </row>
    <row r="386">
      <c r="E386" s="308"/>
      <c r="H386" s="308"/>
    </row>
    <row r="387">
      <c r="E387" s="308"/>
      <c r="H387" s="308"/>
    </row>
    <row r="388">
      <c r="E388" s="308"/>
      <c r="H388" s="308"/>
    </row>
    <row r="389">
      <c r="E389" s="308"/>
      <c r="H389" s="308"/>
    </row>
    <row r="390">
      <c r="E390" s="308"/>
      <c r="H390" s="308"/>
    </row>
    <row r="391">
      <c r="E391" s="308"/>
      <c r="H391" s="308"/>
    </row>
    <row r="392">
      <c r="E392" s="308"/>
      <c r="H392" s="308"/>
    </row>
    <row r="393">
      <c r="E393" s="308"/>
      <c r="H393" s="308"/>
    </row>
    <row r="394">
      <c r="E394" s="308"/>
      <c r="H394" s="308"/>
    </row>
    <row r="395">
      <c r="E395" s="308"/>
      <c r="H395" s="308"/>
    </row>
    <row r="396">
      <c r="E396" s="308"/>
      <c r="H396" s="308"/>
    </row>
    <row r="397">
      <c r="E397" s="308"/>
      <c r="H397" s="308"/>
    </row>
    <row r="398">
      <c r="E398" s="308"/>
      <c r="H398" s="308"/>
    </row>
    <row r="399">
      <c r="E399" s="308"/>
      <c r="H399" s="308"/>
    </row>
    <row r="400">
      <c r="E400" s="308"/>
      <c r="H400" s="308"/>
    </row>
    <row r="401">
      <c r="E401" s="308"/>
      <c r="H401" s="308"/>
    </row>
    <row r="402">
      <c r="E402" s="308"/>
      <c r="H402" s="308"/>
    </row>
    <row r="403">
      <c r="E403" s="308"/>
      <c r="H403" s="308"/>
    </row>
    <row r="404">
      <c r="E404" s="308"/>
      <c r="H404" s="308"/>
    </row>
    <row r="405">
      <c r="E405" s="308"/>
      <c r="H405" s="308"/>
    </row>
    <row r="406">
      <c r="E406" s="308"/>
      <c r="H406" s="308"/>
    </row>
    <row r="407">
      <c r="E407" s="308"/>
      <c r="H407" s="308"/>
    </row>
    <row r="408">
      <c r="E408" s="308"/>
      <c r="H408" s="308"/>
    </row>
    <row r="409">
      <c r="E409" s="308"/>
      <c r="H409" s="308"/>
    </row>
    <row r="410">
      <c r="E410" s="308"/>
      <c r="H410" s="308"/>
    </row>
    <row r="411">
      <c r="E411" s="308"/>
      <c r="H411" s="308"/>
    </row>
    <row r="412">
      <c r="E412" s="308"/>
      <c r="H412" s="308"/>
    </row>
    <row r="413">
      <c r="E413" s="308"/>
      <c r="H413" s="308"/>
    </row>
    <row r="414">
      <c r="E414" s="308"/>
      <c r="H414" s="308"/>
    </row>
    <row r="415">
      <c r="E415" s="308"/>
      <c r="H415" s="308"/>
    </row>
    <row r="416">
      <c r="E416" s="308"/>
      <c r="H416" s="308"/>
    </row>
    <row r="417">
      <c r="E417" s="308"/>
      <c r="H417" s="308"/>
    </row>
    <row r="418">
      <c r="E418" s="308"/>
      <c r="H418" s="308"/>
    </row>
    <row r="419">
      <c r="E419" s="308"/>
      <c r="H419" s="308"/>
    </row>
    <row r="420">
      <c r="E420" s="308"/>
      <c r="H420" s="308"/>
    </row>
    <row r="421">
      <c r="E421" s="308"/>
      <c r="H421" s="308"/>
    </row>
    <row r="422">
      <c r="E422" s="308"/>
      <c r="H422" s="308"/>
    </row>
    <row r="423">
      <c r="E423" s="308"/>
      <c r="H423" s="308"/>
    </row>
    <row r="424">
      <c r="E424" s="308"/>
      <c r="H424" s="308"/>
    </row>
    <row r="425">
      <c r="E425" s="308"/>
      <c r="H425" s="308"/>
    </row>
    <row r="426">
      <c r="E426" s="308"/>
      <c r="H426" s="308"/>
    </row>
    <row r="427">
      <c r="E427" s="308"/>
      <c r="H427" s="308"/>
    </row>
    <row r="428">
      <c r="E428" s="308"/>
      <c r="H428" s="308"/>
    </row>
    <row r="429">
      <c r="E429" s="308"/>
      <c r="H429" s="308"/>
    </row>
    <row r="430">
      <c r="E430" s="308"/>
      <c r="H430" s="308"/>
    </row>
    <row r="431">
      <c r="E431" s="308"/>
      <c r="H431" s="308"/>
    </row>
    <row r="432">
      <c r="E432" s="308"/>
      <c r="H432" s="308"/>
    </row>
    <row r="433">
      <c r="E433" s="308"/>
      <c r="H433" s="308"/>
    </row>
    <row r="434">
      <c r="E434" s="308"/>
      <c r="H434" s="308"/>
    </row>
    <row r="435">
      <c r="E435" s="308"/>
      <c r="H435" s="308"/>
    </row>
    <row r="436">
      <c r="E436" s="308"/>
      <c r="H436" s="308"/>
    </row>
    <row r="437">
      <c r="E437" s="308"/>
      <c r="H437" s="308"/>
    </row>
    <row r="438">
      <c r="E438" s="308"/>
      <c r="H438" s="308"/>
    </row>
    <row r="439">
      <c r="E439" s="308"/>
      <c r="H439" s="308"/>
    </row>
    <row r="440">
      <c r="E440" s="308"/>
      <c r="H440" s="308"/>
    </row>
    <row r="441">
      <c r="E441" s="308"/>
      <c r="H441" s="308"/>
    </row>
    <row r="442">
      <c r="E442" s="308"/>
      <c r="H442" s="308"/>
    </row>
    <row r="443">
      <c r="E443" s="308"/>
      <c r="H443" s="308"/>
    </row>
    <row r="444">
      <c r="E444" s="308"/>
      <c r="H444" s="308"/>
    </row>
    <row r="445">
      <c r="E445" s="308"/>
      <c r="H445" s="308"/>
    </row>
    <row r="446">
      <c r="E446" s="308"/>
      <c r="H446" s="308"/>
    </row>
    <row r="447">
      <c r="E447" s="308"/>
      <c r="H447" s="308"/>
    </row>
    <row r="448">
      <c r="E448" s="308"/>
      <c r="H448" s="308"/>
    </row>
    <row r="449">
      <c r="E449" s="308"/>
      <c r="H449" s="308"/>
    </row>
    <row r="450">
      <c r="E450" s="308"/>
      <c r="H450" s="308"/>
    </row>
    <row r="451">
      <c r="E451" s="308"/>
      <c r="H451" s="308"/>
    </row>
    <row r="452">
      <c r="E452" s="308"/>
      <c r="H452" s="308"/>
    </row>
    <row r="453">
      <c r="E453" s="308"/>
      <c r="H453" s="308"/>
    </row>
    <row r="454">
      <c r="E454" s="308"/>
      <c r="H454" s="308"/>
    </row>
    <row r="455">
      <c r="E455" s="308"/>
      <c r="H455" s="308"/>
    </row>
    <row r="456">
      <c r="E456" s="308"/>
      <c r="H456" s="308"/>
    </row>
    <row r="457">
      <c r="E457" s="308"/>
      <c r="H457" s="308"/>
    </row>
    <row r="458">
      <c r="E458" s="308"/>
      <c r="H458" s="308"/>
    </row>
    <row r="459">
      <c r="E459" s="308"/>
      <c r="H459" s="308"/>
    </row>
    <row r="460">
      <c r="E460" s="308"/>
      <c r="H460" s="308"/>
    </row>
    <row r="461">
      <c r="E461" s="308"/>
      <c r="H461" s="308"/>
    </row>
    <row r="462">
      <c r="E462" s="308"/>
      <c r="H462" s="308"/>
    </row>
    <row r="463">
      <c r="E463" s="308"/>
      <c r="H463" s="308"/>
    </row>
    <row r="464">
      <c r="E464" s="308"/>
      <c r="H464" s="308"/>
    </row>
    <row r="465">
      <c r="E465" s="308"/>
      <c r="H465" s="308"/>
    </row>
    <row r="466">
      <c r="E466" s="308"/>
      <c r="H466" s="308"/>
    </row>
    <row r="467">
      <c r="E467" s="308"/>
      <c r="H467" s="308"/>
    </row>
    <row r="468">
      <c r="E468" s="308"/>
      <c r="H468" s="308"/>
    </row>
    <row r="469">
      <c r="E469" s="308"/>
      <c r="H469" s="308"/>
    </row>
    <row r="470">
      <c r="E470" s="308"/>
      <c r="H470" s="308"/>
    </row>
    <row r="471">
      <c r="E471" s="308"/>
      <c r="H471" s="308"/>
    </row>
    <row r="472">
      <c r="E472" s="308"/>
      <c r="H472" s="308"/>
    </row>
    <row r="473">
      <c r="E473" s="308"/>
      <c r="H473" s="308"/>
    </row>
    <row r="474">
      <c r="E474" s="308"/>
      <c r="H474" s="308"/>
    </row>
    <row r="475">
      <c r="E475" s="308"/>
      <c r="H475" s="308"/>
    </row>
    <row r="476">
      <c r="E476" s="308"/>
      <c r="H476" s="308"/>
    </row>
    <row r="477">
      <c r="E477" s="308"/>
      <c r="H477" s="308"/>
    </row>
    <row r="478">
      <c r="E478" s="308"/>
      <c r="H478" s="308"/>
    </row>
    <row r="479">
      <c r="E479" s="308"/>
      <c r="H479" s="308"/>
    </row>
    <row r="480">
      <c r="E480" s="308"/>
      <c r="H480" s="308"/>
    </row>
    <row r="481">
      <c r="E481" s="308"/>
      <c r="H481" s="308"/>
    </row>
    <row r="482">
      <c r="E482" s="308"/>
      <c r="H482" s="308"/>
    </row>
    <row r="483">
      <c r="E483" s="308"/>
      <c r="H483" s="308"/>
    </row>
    <row r="484">
      <c r="E484" s="308"/>
      <c r="H484" s="308"/>
    </row>
    <row r="485">
      <c r="E485" s="308"/>
      <c r="H485" s="308"/>
    </row>
    <row r="486">
      <c r="E486" s="308"/>
      <c r="H486" s="308"/>
    </row>
    <row r="487">
      <c r="E487" s="308"/>
      <c r="H487" s="308"/>
    </row>
    <row r="488">
      <c r="E488" s="308"/>
      <c r="H488" s="308"/>
    </row>
    <row r="489">
      <c r="E489" s="308"/>
      <c r="H489" s="308"/>
    </row>
    <row r="490">
      <c r="E490" s="308"/>
      <c r="H490" s="308"/>
    </row>
    <row r="491">
      <c r="E491" s="308"/>
      <c r="H491" s="308"/>
    </row>
    <row r="492">
      <c r="E492" s="308"/>
      <c r="H492" s="308"/>
    </row>
    <row r="493">
      <c r="E493" s="308"/>
      <c r="H493" s="308"/>
    </row>
    <row r="494">
      <c r="E494" s="308"/>
      <c r="H494" s="308"/>
    </row>
    <row r="495">
      <c r="E495" s="308"/>
      <c r="H495" s="308"/>
    </row>
    <row r="496">
      <c r="E496" s="308"/>
      <c r="H496" s="308"/>
    </row>
    <row r="497">
      <c r="E497" s="308"/>
      <c r="H497" s="308"/>
    </row>
    <row r="498">
      <c r="E498" s="308"/>
      <c r="H498" s="308"/>
    </row>
    <row r="499">
      <c r="E499" s="308"/>
      <c r="H499" s="308"/>
    </row>
    <row r="500">
      <c r="E500" s="308"/>
      <c r="H500" s="308"/>
    </row>
    <row r="501">
      <c r="E501" s="308"/>
      <c r="H501" s="308"/>
    </row>
    <row r="502">
      <c r="E502" s="308"/>
      <c r="H502" s="308"/>
    </row>
    <row r="503">
      <c r="E503" s="308"/>
      <c r="H503" s="308"/>
    </row>
    <row r="504">
      <c r="E504" s="308"/>
      <c r="H504" s="308"/>
    </row>
    <row r="505">
      <c r="E505" s="308"/>
      <c r="H505" s="308"/>
    </row>
    <row r="506">
      <c r="E506" s="308"/>
      <c r="H506" s="308"/>
    </row>
    <row r="507">
      <c r="E507" s="308"/>
      <c r="H507" s="308"/>
    </row>
    <row r="508">
      <c r="E508" s="308"/>
      <c r="H508" s="308"/>
    </row>
    <row r="509">
      <c r="E509" s="308"/>
      <c r="H509" s="308"/>
    </row>
    <row r="510">
      <c r="E510" s="308"/>
      <c r="H510" s="308"/>
    </row>
    <row r="511">
      <c r="E511" s="308"/>
      <c r="H511" s="308"/>
    </row>
    <row r="512">
      <c r="E512" s="308"/>
      <c r="H512" s="308"/>
    </row>
    <row r="513">
      <c r="E513" s="308"/>
      <c r="H513" s="308"/>
    </row>
    <row r="514">
      <c r="E514" s="308"/>
      <c r="H514" s="308"/>
    </row>
    <row r="515">
      <c r="E515" s="308"/>
      <c r="H515" s="308"/>
    </row>
    <row r="516">
      <c r="E516" s="308"/>
      <c r="H516" s="308"/>
    </row>
    <row r="517">
      <c r="E517" s="308"/>
      <c r="H517" s="308"/>
    </row>
    <row r="518">
      <c r="E518" s="308"/>
      <c r="H518" s="308"/>
    </row>
    <row r="519">
      <c r="E519" s="308"/>
      <c r="H519" s="308"/>
    </row>
    <row r="520">
      <c r="E520" s="308"/>
      <c r="H520" s="308"/>
    </row>
    <row r="521">
      <c r="E521" s="308"/>
      <c r="H521" s="308"/>
    </row>
    <row r="522">
      <c r="E522" s="308"/>
      <c r="H522" s="308"/>
    </row>
    <row r="523">
      <c r="E523" s="308"/>
      <c r="H523" s="308"/>
    </row>
    <row r="524">
      <c r="E524" s="308"/>
      <c r="H524" s="308"/>
    </row>
    <row r="525">
      <c r="E525" s="308"/>
      <c r="H525" s="308"/>
    </row>
    <row r="526">
      <c r="E526" s="308"/>
      <c r="H526" s="308"/>
    </row>
    <row r="527">
      <c r="E527" s="308"/>
      <c r="H527" s="308"/>
    </row>
    <row r="528">
      <c r="E528" s="308"/>
      <c r="H528" s="308"/>
    </row>
    <row r="529">
      <c r="E529" s="308"/>
      <c r="H529" s="308"/>
    </row>
    <row r="530">
      <c r="E530" s="308"/>
      <c r="H530" s="308"/>
    </row>
    <row r="531">
      <c r="E531" s="308"/>
      <c r="H531" s="308"/>
    </row>
    <row r="532">
      <c r="E532" s="308"/>
      <c r="H532" s="308"/>
    </row>
    <row r="533">
      <c r="E533" s="308"/>
      <c r="H533" s="308"/>
    </row>
    <row r="534">
      <c r="E534" s="308"/>
      <c r="H534" s="308"/>
    </row>
    <row r="535">
      <c r="E535" s="308"/>
      <c r="H535" s="308"/>
    </row>
    <row r="536">
      <c r="E536" s="308"/>
      <c r="H536" s="308"/>
    </row>
    <row r="537">
      <c r="E537" s="308"/>
      <c r="H537" s="308"/>
    </row>
    <row r="538">
      <c r="E538" s="308"/>
      <c r="H538" s="308"/>
    </row>
    <row r="539">
      <c r="E539" s="308"/>
      <c r="H539" s="308"/>
    </row>
    <row r="540">
      <c r="E540" s="308"/>
      <c r="H540" s="308"/>
    </row>
    <row r="541">
      <c r="E541" s="308"/>
      <c r="H541" s="308"/>
    </row>
    <row r="542">
      <c r="E542" s="308"/>
      <c r="H542" s="308"/>
    </row>
    <row r="543">
      <c r="E543" s="308"/>
      <c r="H543" s="308"/>
    </row>
    <row r="544">
      <c r="E544" s="308"/>
      <c r="H544" s="308"/>
    </row>
    <row r="545">
      <c r="E545" s="308"/>
      <c r="H545" s="308"/>
    </row>
    <row r="546">
      <c r="E546" s="308"/>
      <c r="H546" s="308"/>
    </row>
    <row r="547">
      <c r="E547" s="308"/>
      <c r="H547" s="308"/>
    </row>
    <row r="548">
      <c r="E548" s="308"/>
      <c r="H548" s="308"/>
    </row>
    <row r="549">
      <c r="E549" s="308"/>
      <c r="H549" s="308"/>
    </row>
    <row r="550">
      <c r="E550" s="308"/>
      <c r="H550" s="308"/>
    </row>
    <row r="551">
      <c r="E551" s="308"/>
      <c r="H551" s="308"/>
    </row>
    <row r="552">
      <c r="E552" s="308"/>
      <c r="H552" s="308"/>
    </row>
    <row r="553">
      <c r="E553" s="308"/>
      <c r="H553" s="308"/>
    </row>
    <row r="554">
      <c r="E554" s="308"/>
      <c r="H554" s="308"/>
    </row>
    <row r="555">
      <c r="E555" s="308"/>
      <c r="H555" s="308"/>
    </row>
    <row r="556">
      <c r="E556" s="308"/>
      <c r="H556" s="308"/>
    </row>
    <row r="557">
      <c r="E557" s="308"/>
      <c r="H557" s="308"/>
    </row>
    <row r="558">
      <c r="E558" s="308"/>
      <c r="H558" s="308"/>
    </row>
    <row r="559">
      <c r="E559" s="308"/>
      <c r="H559" s="308"/>
    </row>
    <row r="560">
      <c r="E560" s="308"/>
      <c r="H560" s="308"/>
    </row>
    <row r="561">
      <c r="E561" s="308"/>
      <c r="H561" s="308"/>
    </row>
    <row r="562">
      <c r="E562" s="308"/>
      <c r="H562" s="308"/>
    </row>
    <row r="563">
      <c r="E563" s="308"/>
      <c r="H563" s="308"/>
    </row>
    <row r="564">
      <c r="E564" s="308"/>
      <c r="H564" s="308"/>
    </row>
    <row r="565">
      <c r="E565" s="308"/>
      <c r="H565" s="308"/>
    </row>
    <row r="566">
      <c r="E566" s="308"/>
      <c r="H566" s="308"/>
    </row>
    <row r="567">
      <c r="E567" s="308"/>
      <c r="H567" s="308"/>
    </row>
    <row r="568">
      <c r="E568" s="308"/>
      <c r="H568" s="308"/>
    </row>
    <row r="569">
      <c r="E569" s="308"/>
      <c r="H569" s="308"/>
    </row>
    <row r="570">
      <c r="E570" s="308"/>
      <c r="H570" s="308"/>
    </row>
    <row r="571">
      <c r="E571" s="308"/>
      <c r="H571" s="308"/>
    </row>
    <row r="572">
      <c r="E572" s="308"/>
      <c r="H572" s="308"/>
    </row>
    <row r="573">
      <c r="E573" s="308"/>
      <c r="H573" s="308"/>
    </row>
    <row r="574">
      <c r="E574" s="308"/>
      <c r="H574" s="308"/>
    </row>
    <row r="575">
      <c r="E575" s="308"/>
      <c r="H575" s="308"/>
    </row>
    <row r="576">
      <c r="E576" s="308"/>
      <c r="H576" s="308"/>
    </row>
    <row r="577">
      <c r="E577" s="308"/>
      <c r="H577" s="308"/>
    </row>
    <row r="578">
      <c r="E578" s="308"/>
      <c r="H578" s="308"/>
    </row>
    <row r="579">
      <c r="E579" s="308"/>
      <c r="H579" s="308"/>
    </row>
    <row r="580">
      <c r="E580" s="308"/>
      <c r="H580" s="308"/>
    </row>
    <row r="581">
      <c r="E581" s="308"/>
      <c r="H581" s="308"/>
    </row>
    <row r="582">
      <c r="E582" s="308"/>
      <c r="H582" s="308"/>
    </row>
    <row r="583">
      <c r="E583" s="308"/>
      <c r="H583" s="308"/>
    </row>
    <row r="584">
      <c r="E584" s="308"/>
      <c r="H584" s="308"/>
    </row>
    <row r="585">
      <c r="E585" s="308"/>
      <c r="H585" s="308"/>
    </row>
    <row r="586">
      <c r="E586" s="308"/>
      <c r="H586" s="308"/>
    </row>
    <row r="587">
      <c r="E587" s="308"/>
      <c r="H587" s="308"/>
    </row>
    <row r="588">
      <c r="E588" s="308"/>
      <c r="H588" s="308"/>
    </row>
    <row r="589">
      <c r="E589" s="308"/>
      <c r="H589" s="308"/>
    </row>
    <row r="590">
      <c r="E590" s="308"/>
      <c r="H590" s="308"/>
    </row>
    <row r="591">
      <c r="E591" s="308"/>
      <c r="H591" s="308"/>
    </row>
    <row r="592">
      <c r="E592" s="308"/>
      <c r="H592" s="308"/>
    </row>
    <row r="593">
      <c r="E593" s="308"/>
      <c r="H593" s="308"/>
    </row>
    <row r="594">
      <c r="E594" s="308"/>
      <c r="H594" s="308"/>
    </row>
    <row r="595">
      <c r="E595" s="308"/>
      <c r="H595" s="308"/>
    </row>
    <row r="596">
      <c r="E596" s="308"/>
      <c r="H596" s="308"/>
    </row>
    <row r="597">
      <c r="E597" s="308"/>
      <c r="H597" s="308"/>
    </row>
    <row r="598">
      <c r="E598" s="308"/>
      <c r="H598" s="308"/>
    </row>
    <row r="599">
      <c r="E599" s="308"/>
      <c r="H599" s="308"/>
    </row>
    <row r="600">
      <c r="E600" s="308"/>
      <c r="H600" s="308"/>
    </row>
    <row r="601">
      <c r="E601" s="308"/>
      <c r="H601" s="308"/>
    </row>
    <row r="602">
      <c r="E602" s="308"/>
      <c r="H602" s="308"/>
    </row>
    <row r="603">
      <c r="E603" s="308"/>
      <c r="H603" s="308"/>
    </row>
    <row r="604">
      <c r="E604" s="308"/>
      <c r="H604" s="308"/>
    </row>
    <row r="605">
      <c r="E605" s="308"/>
      <c r="H605" s="308"/>
    </row>
    <row r="606">
      <c r="E606" s="308"/>
      <c r="H606" s="308"/>
    </row>
    <row r="607">
      <c r="E607" s="308"/>
      <c r="H607" s="308"/>
    </row>
    <row r="608">
      <c r="E608" s="308"/>
      <c r="H608" s="308"/>
    </row>
    <row r="609">
      <c r="E609" s="308"/>
      <c r="H609" s="308"/>
    </row>
    <row r="610">
      <c r="E610" s="308"/>
      <c r="H610" s="308"/>
    </row>
    <row r="611">
      <c r="E611" s="308"/>
      <c r="H611" s="308"/>
    </row>
    <row r="612">
      <c r="E612" s="308"/>
      <c r="H612" s="308"/>
    </row>
    <row r="613">
      <c r="E613" s="308"/>
      <c r="H613" s="308"/>
    </row>
    <row r="614">
      <c r="E614" s="308"/>
      <c r="H614" s="308"/>
    </row>
    <row r="615">
      <c r="E615" s="308"/>
      <c r="H615" s="308"/>
    </row>
    <row r="616">
      <c r="E616" s="308"/>
      <c r="H616" s="308"/>
    </row>
    <row r="617">
      <c r="E617" s="308"/>
      <c r="H617" s="308"/>
    </row>
    <row r="618">
      <c r="E618" s="308"/>
      <c r="H618" s="308"/>
    </row>
    <row r="619">
      <c r="E619" s="308"/>
      <c r="H619" s="308"/>
    </row>
    <row r="620">
      <c r="E620" s="308"/>
      <c r="H620" s="308"/>
    </row>
    <row r="621">
      <c r="E621" s="308"/>
      <c r="H621" s="308"/>
    </row>
    <row r="622">
      <c r="E622" s="308"/>
      <c r="H622" s="308"/>
    </row>
    <row r="623">
      <c r="E623" s="308"/>
      <c r="H623" s="308"/>
    </row>
    <row r="624">
      <c r="E624" s="308"/>
      <c r="H624" s="308"/>
    </row>
    <row r="625">
      <c r="E625" s="308"/>
      <c r="H625" s="308"/>
    </row>
    <row r="626">
      <c r="E626" s="308"/>
      <c r="H626" s="308"/>
    </row>
    <row r="627">
      <c r="E627" s="308"/>
      <c r="H627" s="308"/>
    </row>
    <row r="628">
      <c r="E628" s="308"/>
      <c r="H628" s="308"/>
    </row>
    <row r="629">
      <c r="E629" s="308"/>
      <c r="H629" s="308"/>
    </row>
    <row r="630">
      <c r="E630" s="308"/>
      <c r="H630" s="308"/>
    </row>
    <row r="631">
      <c r="E631" s="308"/>
      <c r="H631" s="308"/>
    </row>
    <row r="632">
      <c r="E632" s="308"/>
      <c r="H632" s="308"/>
    </row>
    <row r="633">
      <c r="E633" s="308"/>
      <c r="H633" s="308"/>
    </row>
    <row r="634">
      <c r="E634" s="308"/>
      <c r="H634" s="308"/>
    </row>
    <row r="635">
      <c r="E635" s="308"/>
      <c r="H635" s="308"/>
    </row>
    <row r="636">
      <c r="E636" s="308"/>
      <c r="H636" s="308"/>
    </row>
    <row r="637">
      <c r="E637" s="308"/>
      <c r="H637" s="308"/>
    </row>
    <row r="638">
      <c r="E638" s="308"/>
      <c r="H638" s="308"/>
    </row>
    <row r="639">
      <c r="E639" s="308"/>
      <c r="H639" s="308"/>
    </row>
    <row r="640">
      <c r="E640" s="308"/>
      <c r="H640" s="308"/>
    </row>
    <row r="641">
      <c r="E641" s="308"/>
      <c r="H641" s="308"/>
    </row>
    <row r="642">
      <c r="E642" s="308"/>
      <c r="H642" s="308"/>
    </row>
    <row r="643">
      <c r="E643" s="308"/>
      <c r="H643" s="308"/>
    </row>
    <row r="644">
      <c r="E644" s="308"/>
      <c r="H644" s="308"/>
    </row>
    <row r="645">
      <c r="E645" s="308"/>
      <c r="H645" s="308"/>
    </row>
    <row r="646">
      <c r="E646" s="308"/>
      <c r="H646" s="308"/>
    </row>
    <row r="647">
      <c r="E647" s="308"/>
      <c r="H647" s="308"/>
    </row>
    <row r="648">
      <c r="E648" s="308"/>
      <c r="H648" s="308"/>
    </row>
    <row r="649">
      <c r="E649" s="308"/>
      <c r="H649" s="308"/>
    </row>
    <row r="650">
      <c r="E650" s="308"/>
      <c r="H650" s="308"/>
    </row>
    <row r="651">
      <c r="E651" s="308"/>
      <c r="H651" s="308"/>
    </row>
    <row r="652">
      <c r="E652" s="308"/>
      <c r="H652" s="308"/>
    </row>
    <row r="653">
      <c r="E653" s="308"/>
      <c r="H653" s="308"/>
    </row>
    <row r="654">
      <c r="E654" s="308"/>
      <c r="H654" s="308"/>
    </row>
    <row r="655">
      <c r="E655" s="308"/>
      <c r="H655" s="308"/>
    </row>
    <row r="656">
      <c r="E656" s="308"/>
      <c r="H656" s="308"/>
    </row>
    <row r="657">
      <c r="E657" s="308"/>
      <c r="H657" s="308"/>
    </row>
    <row r="658">
      <c r="E658" s="308"/>
      <c r="H658" s="308"/>
    </row>
    <row r="659">
      <c r="E659" s="308"/>
      <c r="H659" s="308"/>
    </row>
    <row r="660">
      <c r="E660" s="308"/>
      <c r="H660" s="308"/>
    </row>
    <row r="661">
      <c r="E661" s="308"/>
      <c r="H661" s="308"/>
    </row>
    <row r="662">
      <c r="E662" s="308"/>
      <c r="H662" s="308"/>
    </row>
    <row r="663">
      <c r="E663" s="308"/>
      <c r="H663" s="308"/>
    </row>
    <row r="664">
      <c r="E664" s="308"/>
      <c r="H664" s="308"/>
    </row>
    <row r="665">
      <c r="E665" s="308"/>
      <c r="H665" s="308"/>
    </row>
    <row r="666">
      <c r="E666" s="308"/>
      <c r="H666" s="308"/>
    </row>
    <row r="667">
      <c r="E667" s="308"/>
      <c r="H667" s="308"/>
    </row>
    <row r="668">
      <c r="E668" s="308"/>
      <c r="H668" s="308"/>
    </row>
    <row r="669">
      <c r="E669" s="308"/>
      <c r="H669" s="308"/>
    </row>
    <row r="670">
      <c r="E670" s="308"/>
      <c r="H670" s="308"/>
    </row>
    <row r="671">
      <c r="E671" s="308"/>
      <c r="H671" s="308"/>
    </row>
    <row r="672">
      <c r="E672" s="308"/>
      <c r="H672" s="308"/>
    </row>
    <row r="673">
      <c r="E673" s="308"/>
      <c r="H673" s="308"/>
    </row>
    <row r="674">
      <c r="E674" s="308"/>
      <c r="H674" s="308"/>
    </row>
    <row r="675">
      <c r="E675" s="308"/>
      <c r="H675" s="308"/>
    </row>
    <row r="676">
      <c r="E676" s="308"/>
      <c r="H676" s="308"/>
    </row>
    <row r="677">
      <c r="E677" s="308"/>
      <c r="H677" s="308"/>
    </row>
    <row r="678">
      <c r="E678" s="308"/>
      <c r="H678" s="308"/>
    </row>
    <row r="679">
      <c r="E679" s="308"/>
      <c r="H679" s="308"/>
    </row>
    <row r="680">
      <c r="E680" s="308"/>
      <c r="H680" s="308"/>
    </row>
    <row r="681">
      <c r="E681" s="308"/>
      <c r="H681" s="308"/>
    </row>
    <row r="682">
      <c r="E682" s="308"/>
      <c r="H682" s="308"/>
    </row>
    <row r="683">
      <c r="E683" s="308"/>
      <c r="H683" s="308"/>
    </row>
    <row r="684">
      <c r="E684" s="308"/>
      <c r="H684" s="308"/>
    </row>
    <row r="685">
      <c r="E685" s="308"/>
      <c r="H685" s="308"/>
    </row>
    <row r="686">
      <c r="E686" s="308"/>
      <c r="H686" s="308"/>
    </row>
    <row r="687">
      <c r="E687" s="308"/>
      <c r="H687" s="308"/>
    </row>
    <row r="688">
      <c r="E688" s="308"/>
      <c r="H688" s="308"/>
    </row>
    <row r="689">
      <c r="E689" s="308"/>
      <c r="H689" s="308"/>
    </row>
    <row r="690">
      <c r="E690" s="308"/>
      <c r="H690" s="308"/>
    </row>
    <row r="691">
      <c r="E691" s="308"/>
      <c r="H691" s="308"/>
    </row>
    <row r="692">
      <c r="E692" s="308"/>
      <c r="H692" s="308"/>
    </row>
    <row r="693">
      <c r="E693" s="308"/>
      <c r="H693" s="308"/>
    </row>
    <row r="694">
      <c r="E694" s="308"/>
      <c r="H694" s="308"/>
    </row>
    <row r="695">
      <c r="E695" s="308"/>
      <c r="H695" s="308"/>
    </row>
    <row r="696">
      <c r="E696" s="308"/>
      <c r="H696" s="308"/>
    </row>
    <row r="697">
      <c r="E697" s="308"/>
      <c r="H697" s="308"/>
    </row>
    <row r="698">
      <c r="E698" s="308"/>
      <c r="H698" s="308"/>
    </row>
    <row r="699">
      <c r="E699" s="308"/>
      <c r="H699" s="308"/>
    </row>
    <row r="700">
      <c r="E700" s="308"/>
      <c r="H700" s="308"/>
    </row>
    <row r="701">
      <c r="E701" s="308"/>
      <c r="H701" s="308"/>
    </row>
    <row r="702">
      <c r="E702" s="308"/>
      <c r="H702" s="308"/>
    </row>
    <row r="703">
      <c r="E703" s="308"/>
      <c r="H703" s="308"/>
    </row>
    <row r="704">
      <c r="E704" s="308"/>
      <c r="H704" s="308"/>
    </row>
    <row r="705">
      <c r="E705" s="308"/>
      <c r="H705" s="308"/>
    </row>
    <row r="706">
      <c r="E706" s="308"/>
      <c r="H706" s="308"/>
    </row>
    <row r="707">
      <c r="E707" s="308"/>
      <c r="H707" s="308"/>
    </row>
    <row r="708">
      <c r="E708" s="308"/>
      <c r="H708" s="308"/>
    </row>
    <row r="709">
      <c r="E709" s="308"/>
      <c r="H709" s="308"/>
    </row>
    <row r="710">
      <c r="E710" s="308"/>
      <c r="H710" s="308"/>
    </row>
    <row r="711">
      <c r="E711" s="308"/>
      <c r="H711" s="308"/>
    </row>
    <row r="712">
      <c r="E712" s="308"/>
      <c r="H712" s="308"/>
    </row>
    <row r="713">
      <c r="E713" s="308"/>
      <c r="H713" s="308"/>
    </row>
    <row r="714">
      <c r="E714" s="308"/>
      <c r="H714" s="308"/>
    </row>
    <row r="715">
      <c r="E715" s="308"/>
      <c r="H715" s="308"/>
    </row>
    <row r="716">
      <c r="E716" s="308"/>
      <c r="H716" s="308"/>
    </row>
    <row r="717">
      <c r="E717" s="308"/>
      <c r="H717" s="308"/>
    </row>
    <row r="718">
      <c r="E718" s="308"/>
      <c r="H718" s="308"/>
    </row>
    <row r="719">
      <c r="E719" s="308"/>
      <c r="H719" s="308"/>
    </row>
    <row r="720">
      <c r="E720" s="308"/>
      <c r="H720" s="308"/>
    </row>
    <row r="721">
      <c r="E721" s="308"/>
      <c r="H721" s="308"/>
    </row>
    <row r="722">
      <c r="E722" s="308"/>
      <c r="H722" s="308"/>
    </row>
    <row r="723">
      <c r="E723" s="308"/>
      <c r="H723" s="308"/>
    </row>
    <row r="724">
      <c r="E724" s="308"/>
      <c r="H724" s="308"/>
    </row>
    <row r="725">
      <c r="E725" s="308"/>
      <c r="H725" s="308"/>
    </row>
    <row r="726">
      <c r="E726" s="308"/>
      <c r="H726" s="308"/>
    </row>
    <row r="727">
      <c r="E727" s="308"/>
      <c r="H727" s="308"/>
    </row>
    <row r="728">
      <c r="E728" s="308"/>
      <c r="H728" s="308"/>
    </row>
    <row r="729">
      <c r="E729" s="308"/>
      <c r="H729" s="308"/>
    </row>
    <row r="730">
      <c r="E730" s="308"/>
      <c r="H730" s="308"/>
    </row>
    <row r="731">
      <c r="E731" s="308"/>
      <c r="H731" s="308"/>
    </row>
    <row r="732">
      <c r="E732" s="308"/>
      <c r="H732" s="308"/>
    </row>
    <row r="733">
      <c r="E733" s="308"/>
      <c r="H733" s="308"/>
    </row>
    <row r="734">
      <c r="E734" s="308"/>
      <c r="H734" s="308"/>
    </row>
    <row r="735">
      <c r="E735" s="308"/>
      <c r="H735" s="308"/>
    </row>
    <row r="736">
      <c r="E736" s="308"/>
      <c r="H736" s="308"/>
    </row>
    <row r="737">
      <c r="E737" s="308"/>
      <c r="H737" s="308"/>
    </row>
    <row r="738">
      <c r="E738" s="308"/>
      <c r="H738" s="308"/>
    </row>
    <row r="739">
      <c r="E739" s="308"/>
      <c r="H739" s="308"/>
    </row>
    <row r="740">
      <c r="E740" s="308"/>
      <c r="H740" s="308"/>
    </row>
    <row r="741">
      <c r="E741" s="308"/>
      <c r="H741" s="308"/>
    </row>
    <row r="742">
      <c r="E742" s="308"/>
      <c r="H742" s="308"/>
    </row>
    <row r="743">
      <c r="E743" s="308"/>
      <c r="H743" s="308"/>
    </row>
    <row r="744">
      <c r="E744" s="308"/>
      <c r="H744" s="308"/>
    </row>
    <row r="745">
      <c r="E745" s="308"/>
      <c r="H745" s="308"/>
    </row>
    <row r="746">
      <c r="E746" s="308"/>
      <c r="H746" s="308"/>
    </row>
    <row r="747">
      <c r="E747" s="308"/>
      <c r="H747" s="308"/>
    </row>
    <row r="748">
      <c r="E748" s="308"/>
      <c r="H748" s="308"/>
    </row>
    <row r="749">
      <c r="E749" s="308"/>
      <c r="H749" s="308"/>
    </row>
    <row r="750">
      <c r="E750" s="308"/>
      <c r="H750" s="308"/>
    </row>
    <row r="751">
      <c r="E751" s="308"/>
      <c r="H751" s="308"/>
    </row>
    <row r="752">
      <c r="E752" s="308"/>
      <c r="H752" s="308"/>
    </row>
    <row r="753">
      <c r="E753" s="308"/>
      <c r="H753" s="308"/>
    </row>
    <row r="754">
      <c r="E754" s="308"/>
      <c r="H754" s="308"/>
    </row>
    <row r="755">
      <c r="E755" s="308"/>
      <c r="H755" s="308"/>
    </row>
    <row r="756">
      <c r="E756" s="308"/>
      <c r="H756" s="308"/>
    </row>
    <row r="757">
      <c r="E757" s="308"/>
      <c r="H757" s="308"/>
    </row>
    <row r="758">
      <c r="E758" s="308"/>
      <c r="H758" s="308"/>
    </row>
    <row r="759">
      <c r="E759" s="308"/>
      <c r="H759" s="308"/>
    </row>
    <row r="760">
      <c r="E760" s="308"/>
      <c r="H760" s="308"/>
    </row>
    <row r="761">
      <c r="E761" s="308"/>
      <c r="H761" s="308"/>
    </row>
    <row r="762">
      <c r="E762" s="308"/>
      <c r="H762" s="308"/>
    </row>
    <row r="763">
      <c r="E763" s="308"/>
      <c r="H763" s="308"/>
    </row>
    <row r="764">
      <c r="E764" s="308"/>
      <c r="H764" s="308"/>
    </row>
    <row r="765">
      <c r="E765" s="308"/>
      <c r="H765" s="308"/>
    </row>
    <row r="766">
      <c r="E766" s="308"/>
      <c r="H766" s="308"/>
    </row>
    <row r="767">
      <c r="E767" s="308"/>
      <c r="H767" s="308"/>
    </row>
    <row r="768">
      <c r="E768" s="308"/>
      <c r="H768" s="308"/>
    </row>
    <row r="769">
      <c r="E769" s="308"/>
      <c r="H769" s="308"/>
    </row>
    <row r="770">
      <c r="E770" s="308"/>
      <c r="H770" s="308"/>
    </row>
    <row r="771">
      <c r="E771" s="308"/>
      <c r="H771" s="308"/>
    </row>
    <row r="772">
      <c r="E772" s="308"/>
      <c r="H772" s="308"/>
    </row>
    <row r="773">
      <c r="E773" s="308"/>
      <c r="H773" s="308"/>
    </row>
    <row r="774">
      <c r="E774" s="308"/>
      <c r="H774" s="308"/>
    </row>
    <row r="775">
      <c r="E775" s="308"/>
      <c r="H775" s="308"/>
    </row>
    <row r="776">
      <c r="E776" s="308"/>
      <c r="H776" s="308"/>
    </row>
    <row r="777">
      <c r="E777" s="308"/>
      <c r="H777" s="308"/>
    </row>
    <row r="778">
      <c r="E778" s="308"/>
      <c r="H778" s="308"/>
    </row>
    <row r="779">
      <c r="E779" s="308"/>
      <c r="H779" s="308"/>
    </row>
    <row r="780">
      <c r="E780" s="308"/>
      <c r="H780" s="308"/>
    </row>
    <row r="781">
      <c r="E781" s="308"/>
      <c r="H781" s="308"/>
    </row>
    <row r="782">
      <c r="E782" s="308"/>
      <c r="H782" s="308"/>
    </row>
    <row r="783">
      <c r="E783" s="308"/>
      <c r="H783" s="308"/>
    </row>
    <row r="784">
      <c r="E784" s="308"/>
      <c r="H784" s="308"/>
    </row>
    <row r="785">
      <c r="E785" s="308"/>
      <c r="H785" s="308"/>
    </row>
    <row r="786">
      <c r="E786" s="308"/>
      <c r="H786" s="308"/>
    </row>
    <row r="787">
      <c r="E787" s="308"/>
      <c r="H787" s="308"/>
    </row>
    <row r="788">
      <c r="E788" s="308"/>
      <c r="H788" s="308"/>
    </row>
    <row r="789">
      <c r="E789" s="308"/>
      <c r="H789" s="308"/>
    </row>
    <row r="790">
      <c r="E790" s="308"/>
      <c r="H790" s="308"/>
    </row>
    <row r="791">
      <c r="E791" s="308"/>
      <c r="H791" s="308"/>
    </row>
    <row r="792">
      <c r="E792" s="308"/>
      <c r="H792" s="308"/>
    </row>
    <row r="793">
      <c r="E793" s="308"/>
      <c r="H793" s="308"/>
    </row>
    <row r="794">
      <c r="E794" s="308"/>
      <c r="H794" s="308"/>
    </row>
    <row r="795">
      <c r="E795" s="308"/>
      <c r="H795" s="308"/>
    </row>
    <row r="796">
      <c r="E796" s="308"/>
      <c r="H796" s="308"/>
    </row>
    <row r="797">
      <c r="E797" s="308"/>
      <c r="H797" s="308"/>
    </row>
    <row r="798">
      <c r="E798" s="308"/>
      <c r="H798" s="308"/>
    </row>
    <row r="799">
      <c r="E799" s="308"/>
      <c r="H799" s="308"/>
    </row>
    <row r="800">
      <c r="E800" s="308"/>
      <c r="H800" s="308"/>
    </row>
    <row r="801">
      <c r="E801" s="308"/>
      <c r="H801" s="308"/>
    </row>
    <row r="802">
      <c r="E802" s="308"/>
      <c r="H802" s="308"/>
    </row>
    <row r="803">
      <c r="E803" s="308"/>
      <c r="H803" s="308"/>
    </row>
    <row r="804">
      <c r="E804" s="308"/>
      <c r="H804" s="308"/>
    </row>
    <row r="805">
      <c r="E805" s="308"/>
      <c r="H805" s="308"/>
    </row>
    <row r="806">
      <c r="E806" s="308"/>
      <c r="H806" s="308"/>
    </row>
    <row r="807">
      <c r="E807" s="308"/>
      <c r="H807" s="308"/>
    </row>
    <row r="808">
      <c r="E808" s="308"/>
      <c r="H808" s="308"/>
    </row>
    <row r="809">
      <c r="E809" s="308"/>
      <c r="H809" s="308"/>
    </row>
    <row r="810">
      <c r="E810" s="308"/>
      <c r="H810" s="308"/>
    </row>
    <row r="811">
      <c r="E811" s="308"/>
      <c r="H811" s="308"/>
    </row>
    <row r="812">
      <c r="E812" s="308"/>
      <c r="H812" s="308"/>
    </row>
    <row r="813">
      <c r="E813" s="308"/>
      <c r="H813" s="308"/>
    </row>
    <row r="814">
      <c r="E814" s="308"/>
      <c r="H814" s="308"/>
    </row>
    <row r="815">
      <c r="E815" s="308"/>
      <c r="H815" s="308"/>
    </row>
    <row r="816">
      <c r="E816" s="308"/>
      <c r="H816" s="308"/>
    </row>
    <row r="817">
      <c r="E817" s="308"/>
      <c r="H817" s="308"/>
    </row>
    <row r="818">
      <c r="E818" s="308"/>
      <c r="H818" s="308"/>
    </row>
    <row r="819">
      <c r="E819" s="308"/>
      <c r="H819" s="308"/>
    </row>
    <row r="820">
      <c r="E820" s="308"/>
      <c r="H820" s="308"/>
    </row>
    <row r="821">
      <c r="E821" s="308"/>
      <c r="H821" s="308"/>
    </row>
    <row r="822">
      <c r="E822" s="308"/>
      <c r="H822" s="308"/>
    </row>
    <row r="823">
      <c r="E823" s="308"/>
      <c r="H823" s="308"/>
    </row>
    <row r="824">
      <c r="E824" s="308"/>
      <c r="H824" s="308"/>
    </row>
    <row r="825">
      <c r="E825" s="308"/>
      <c r="H825" s="308"/>
    </row>
    <row r="826">
      <c r="E826" s="308"/>
      <c r="H826" s="308"/>
    </row>
    <row r="827">
      <c r="E827" s="308"/>
      <c r="H827" s="308"/>
    </row>
    <row r="828">
      <c r="E828" s="308"/>
      <c r="H828" s="308"/>
    </row>
    <row r="829">
      <c r="E829" s="308"/>
      <c r="H829" s="308"/>
    </row>
    <row r="830">
      <c r="E830" s="308"/>
      <c r="H830" s="308"/>
    </row>
    <row r="831">
      <c r="E831" s="308"/>
      <c r="H831" s="308"/>
    </row>
    <row r="832">
      <c r="E832" s="308"/>
      <c r="H832" s="308"/>
    </row>
    <row r="833">
      <c r="E833" s="308"/>
      <c r="H833" s="308"/>
    </row>
    <row r="834">
      <c r="E834" s="308"/>
      <c r="H834" s="308"/>
    </row>
    <row r="835">
      <c r="E835" s="308"/>
      <c r="H835" s="308"/>
    </row>
    <row r="836">
      <c r="E836" s="308"/>
      <c r="H836" s="308"/>
    </row>
    <row r="837">
      <c r="E837" s="308"/>
      <c r="H837" s="308"/>
    </row>
    <row r="838">
      <c r="E838" s="308"/>
      <c r="H838" s="308"/>
    </row>
    <row r="839">
      <c r="E839" s="308"/>
      <c r="H839" s="308"/>
    </row>
    <row r="840">
      <c r="E840" s="308"/>
      <c r="H840" s="308"/>
    </row>
    <row r="841">
      <c r="E841" s="308"/>
      <c r="H841" s="308"/>
    </row>
    <row r="842">
      <c r="E842" s="308"/>
      <c r="H842" s="308"/>
    </row>
    <row r="843">
      <c r="E843" s="308"/>
      <c r="H843" s="308"/>
    </row>
    <row r="844">
      <c r="E844" s="308"/>
      <c r="H844" s="308"/>
    </row>
    <row r="845">
      <c r="E845" s="308"/>
      <c r="H845" s="308"/>
    </row>
    <row r="846">
      <c r="E846" s="308"/>
      <c r="H846" s="308"/>
    </row>
    <row r="847">
      <c r="E847" s="308"/>
      <c r="H847" s="308"/>
    </row>
    <row r="848">
      <c r="E848" s="308"/>
      <c r="H848" s="308"/>
    </row>
    <row r="849">
      <c r="E849" s="308"/>
      <c r="H849" s="308"/>
    </row>
    <row r="850">
      <c r="E850" s="308"/>
      <c r="H850" s="308"/>
    </row>
    <row r="851">
      <c r="E851" s="308"/>
      <c r="H851" s="308"/>
    </row>
    <row r="852">
      <c r="E852" s="308"/>
      <c r="H852" s="308"/>
    </row>
    <row r="853">
      <c r="E853" s="308"/>
      <c r="H853" s="308"/>
    </row>
    <row r="854">
      <c r="E854" s="308"/>
      <c r="H854" s="308"/>
    </row>
    <row r="855">
      <c r="E855" s="308"/>
      <c r="H855" s="308"/>
    </row>
    <row r="856">
      <c r="E856" s="308"/>
      <c r="H856" s="308"/>
    </row>
    <row r="857">
      <c r="E857" s="308"/>
      <c r="H857" s="308"/>
    </row>
    <row r="858">
      <c r="E858" s="308"/>
      <c r="H858" s="308"/>
    </row>
    <row r="859">
      <c r="E859" s="308"/>
      <c r="H859" s="308"/>
    </row>
    <row r="860">
      <c r="E860" s="308"/>
      <c r="H860" s="308"/>
    </row>
    <row r="861">
      <c r="E861" s="308"/>
      <c r="H861" s="308"/>
    </row>
    <row r="862">
      <c r="E862" s="308"/>
      <c r="H862" s="308"/>
    </row>
    <row r="863">
      <c r="E863" s="308"/>
      <c r="H863" s="308"/>
    </row>
    <row r="864">
      <c r="E864" s="308"/>
      <c r="H864" s="308"/>
    </row>
    <row r="865">
      <c r="E865" s="308"/>
      <c r="H865" s="308"/>
    </row>
    <row r="866">
      <c r="E866" s="308"/>
      <c r="H866" s="308"/>
    </row>
    <row r="867">
      <c r="E867" s="308"/>
      <c r="H867" s="308"/>
    </row>
    <row r="868">
      <c r="E868" s="308"/>
      <c r="H868" s="308"/>
    </row>
    <row r="869">
      <c r="E869" s="308"/>
      <c r="H869" s="308"/>
    </row>
    <row r="870">
      <c r="E870" s="308"/>
      <c r="H870" s="308"/>
    </row>
    <row r="871">
      <c r="E871" s="308"/>
      <c r="H871" s="308"/>
    </row>
    <row r="872">
      <c r="E872" s="308"/>
      <c r="H872" s="308"/>
    </row>
    <row r="873">
      <c r="E873" s="308"/>
      <c r="H873" s="308"/>
    </row>
    <row r="874">
      <c r="E874" s="308"/>
      <c r="H874" s="308"/>
    </row>
    <row r="875">
      <c r="E875" s="308"/>
      <c r="H875" s="308"/>
    </row>
    <row r="876">
      <c r="E876" s="308"/>
      <c r="H876" s="308"/>
    </row>
    <row r="877">
      <c r="E877" s="308"/>
      <c r="H877" s="308"/>
    </row>
    <row r="878">
      <c r="E878" s="308"/>
      <c r="H878" s="308"/>
    </row>
    <row r="879">
      <c r="E879" s="308"/>
      <c r="H879" s="308"/>
    </row>
    <row r="880">
      <c r="E880" s="308"/>
      <c r="H880" s="308"/>
    </row>
    <row r="881">
      <c r="E881" s="308"/>
      <c r="H881" s="308"/>
    </row>
    <row r="882">
      <c r="E882" s="308"/>
      <c r="H882" s="308"/>
    </row>
    <row r="883">
      <c r="E883" s="308"/>
      <c r="H883" s="308"/>
    </row>
    <row r="884">
      <c r="E884" s="308"/>
      <c r="H884" s="308"/>
    </row>
    <row r="885">
      <c r="E885" s="308"/>
      <c r="H885" s="308"/>
    </row>
    <row r="886">
      <c r="E886" s="308"/>
      <c r="H886" s="308"/>
    </row>
    <row r="887">
      <c r="E887" s="308"/>
      <c r="H887" s="308"/>
    </row>
    <row r="888">
      <c r="E888" s="308"/>
      <c r="H888" s="308"/>
    </row>
    <row r="889">
      <c r="E889" s="308"/>
      <c r="H889" s="308"/>
    </row>
    <row r="890">
      <c r="E890" s="308"/>
      <c r="H890" s="308"/>
    </row>
    <row r="891">
      <c r="E891" s="308"/>
      <c r="H891" s="308"/>
    </row>
    <row r="892">
      <c r="E892" s="308"/>
      <c r="H892" s="308"/>
    </row>
    <row r="893">
      <c r="E893" s="308"/>
      <c r="H893" s="308"/>
    </row>
    <row r="894">
      <c r="E894" s="308"/>
      <c r="H894" s="308"/>
    </row>
    <row r="895">
      <c r="E895" s="308"/>
      <c r="H895" s="308"/>
    </row>
    <row r="896">
      <c r="E896" s="308"/>
      <c r="H896" s="308"/>
    </row>
    <row r="897">
      <c r="E897" s="308"/>
      <c r="H897" s="308"/>
    </row>
    <row r="898">
      <c r="E898" s="308"/>
      <c r="H898" s="308"/>
    </row>
    <row r="899">
      <c r="E899" s="308"/>
      <c r="H899" s="308"/>
    </row>
    <row r="900">
      <c r="E900" s="308"/>
      <c r="H900" s="308"/>
    </row>
    <row r="901">
      <c r="E901" s="308"/>
      <c r="H901" s="308"/>
    </row>
    <row r="902">
      <c r="E902" s="308"/>
      <c r="H902" s="308"/>
    </row>
    <row r="903">
      <c r="E903" s="308"/>
      <c r="H903" s="308"/>
    </row>
    <row r="904">
      <c r="E904" s="308"/>
      <c r="H904" s="308"/>
    </row>
    <row r="905">
      <c r="E905" s="308"/>
      <c r="H905" s="308"/>
    </row>
    <row r="906">
      <c r="E906" s="308"/>
      <c r="H906" s="308"/>
    </row>
    <row r="907">
      <c r="E907" s="308"/>
      <c r="H907" s="308"/>
    </row>
    <row r="908">
      <c r="E908" s="308"/>
      <c r="H908" s="308"/>
    </row>
    <row r="909">
      <c r="E909" s="308"/>
      <c r="H909" s="308"/>
    </row>
    <row r="910">
      <c r="E910" s="308"/>
      <c r="H910" s="308"/>
    </row>
    <row r="911">
      <c r="E911" s="308"/>
      <c r="H911" s="308"/>
    </row>
    <row r="912">
      <c r="E912" s="308"/>
      <c r="H912" s="308"/>
    </row>
    <row r="913">
      <c r="E913" s="308"/>
      <c r="H913" s="308"/>
    </row>
    <row r="914">
      <c r="E914" s="308"/>
      <c r="H914" s="308"/>
    </row>
    <row r="915">
      <c r="E915" s="308"/>
      <c r="H915" s="308"/>
    </row>
    <row r="916">
      <c r="E916" s="308"/>
      <c r="H916" s="308"/>
    </row>
    <row r="917">
      <c r="E917" s="308"/>
      <c r="H917" s="308"/>
    </row>
    <row r="918">
      <c r="E918" s="308"/>
      <c r="H918" s="308"/>
    </row>
    <row r="919">
      <c r="E919" s="308"/>
      <c r="H919" s="308"/>
    </row>
    <row r="920">
      <c r="E920" s="308"/>
      <c r="H920" s="308"/>
    </row>
    <row r="921">
      <c r="E921" s="308"/>
      <c r="H921" s="308"/>
    </row>
    <row r="922">
      <c r="E922" s="308"/>
      <c r="H922" s="308"/>
    </row>
    <row r="923">
      <c r="E923" s="308"/>
      <c r="H923" s="308"/>
    </row>
    <row r="924">
      <c r="E924" s="308"/>
      <c r="H924" s="308"/>
    </row>
    <row r="925">
      <c r="E925" s="308"/>
      <c r="H925" s="308"/>
    </row>
    <row r="926">
      <c r="E926" s="308"/>
      <c r="H926" s="308"/>
    </row>
    <row r="927">
      <c r="E927" s="308"/>
      <c r="H927" s="308"/>
    </row>
    <row r="928">
      <c r="E928" s="308"/>
      <c r="H928" s="308"/>
    </row>
    <row r="929">
      <c r="E929" s="308"/>
      <c r="H929" s="308"/>
    </row>
    <row r="930">
      <c r="E930" s="308"/>
      <c r="H930" s="308"/>
    </row>
    <row r="931">
      <c r="E931" s="308"/>
      <c r="H931" s="308"/>
    </row>
    <row r="932">
      <c r="E932" s="308"/>
      <c r="H932" s="308"/>
    </row>
    <row r="933">
      <c r="E933" s="308"/>
      <c r="H933" s="308"/>
    </row>
    <row r="934">
      <c r="E934" s="308"/>
      <c r="H934" s="308"/>
    </row>
    <row r="935">
      <c r="E935" s="308"/>
      <c r="H935" s="308"/>
    </row>
    <row r="936">
      <c r="E936" s="308"/>
      <c r="H936" s="308"/>
    </row>
    <row r="937">
      <c r="E937" s="308"/>
      <c r="H937" s="308"/>
    </row>
    <row r="938">
      <c r="E938" s="308"/>
      <c r="H938" s="308"/>
    </row>
    <row r="939">
      <c r="E939" s="308"/>
      <c r="H939" s="308"/>
    </row>
    <row r="940">
      <c r="E940" s="308"/>
      <c r="H940" s="308"/>
    </row>
    <row r="941">
      <c r="E941" s="308"/>
      <c r="H941" s="308"/>
    </row>
    <row r="942">
      <c r="E942" s="308"/>
      <c r="H942" s="308"/>
    </row>
    <row r="943">
      <c r="E943" s="308"/>
      <c r="H943" s="308"/>
    </row>
    <row r="944">
      <c r="E944" s="308"/>
      <c r="H944" s="308"/>
    </row>
    <row r="945">
      <c r="E945" s="308"/>
      <c r="H945" s="308"/>
    </row>
    <row r="946">
      <c r="E946" s="308"/>
      <c r="H946" s="308"/>
    </row>
    <row r="947">
      <c r="E947" s="308"/>
      <c r="H947" s="308"/>
    </row>
    <row r="948">
      <c r="E948" s="308"/>
      <c r="H948" s="308"/>
    </row>
    <row r="949">
      <c r="E949" s="308"/>
      <c r="H949" s="308"/>
    </row>
    <row r="950">
      <c r="E950" s="308"/>
      <c r="H950" s="308"/>
    </row>
    <row r="951">
      <c r="E951" s="308"/>
      <c r="H951" s="308"/>
    </row>
    <row r="952">
      <c r="E952" s="308"/>
      <c r="H952" s="308"/>
    </row>
    <row r="953">
      <c r="E953" s="308"/>
      <c r="H953" s="308"/>
    </row>
    <row r="954">
      <c r="E954" s="308"/>
      <c r="H954" s="308"/>
    </row>
    <row r="955">
      <c r="E955" s="308"/>
      <c r="H955" s="308"/>
    </row>
    <row r="956">
      <c r="E956" s="308"/>
      <c r="H956" s="308"/>
    </row>
    <row r="957">
      <c r="E957" s="308"/>
      <c r="H957" s="308"/>
    </row>
    <row r="958">
      <c r="E958" s="308"/>
      <c r="H958" s="308"/>
    </row>
    <row r="959">
      <c r="E959" s="308"/>
      <c r="H959" s="308"/>
    </row>
    <row r="960">
      <c r="E960" s="308"/>
      <c r="H960" s="308"/>
    </row>
    <row r="961">
      <c r="E961" s="308"/>
      <c r="H961" s="308"/>
    </row>
    <row r="962">
      <c r="E962" s="308"/>
      <c r="H962" s="308"/>
    </row>
    <row r="963">
      <c r="E963" s="308"/>
      <c r="H963" s="308"/>
    </row>
    <row r="964">
      <c r="E964" s="308"/>
      <c r="H964" s="308"/>
    </row>
    <row r="965">
      <c r="E965" s="308"/>
      <c r="H965" s="308"/>
    </row>
    <row r="966">
      <c r="E966" s="308"/>
      <c r="H966" s="308"/>
    </row>
    <row r="967">
      <c r="E967" s="308"/>
      <c r="H967" s="308"/>
    </row>
    <row r="968">
      <c r="E968" s="308"/>
      <c r="H968" s="308"/>
    </row>
    <row r="969">
      <c r="E969" s="308"/>
      <c r="H969" s="308"/>
    </row>
    <row r="970">
      <c r="E970" s="308"/>
      <c r="H970" s="308"/>
    </row>
    <row r="971">
      <c r="E971" s="308"/>
      <c r="H971" s="308"/>
    </row>
    <row r="972">
      <c r="E972" s="308"/>
      <c r="H972" s="308"/>
    </row>
    <row r="973">
      <c r="E973" s="308"/>
      <c r="H973" s="308"/>
    </row>
    <row r="974">
      <c r="E974" s="308"/>
      <c r="H974" s="308"/>
    </row>
    <row r="975">
      <c r="E975" s="308"/>
      <c r="H975" s="308"/>
    </row>
    <row r="976">
      <c r="E976" s="308"/>
      <c r="H976" s="308"/>
    </row>
    <row r="977">
      <c r="E977" s="308"/>
      <c r="H977" s="308"/>
    </row>
    <row r="978">
      <c r="E978" s="308"/>
      <c r="H978" s="308"/>
    </row>
    <row r="979">
      <c r="E979" s="308"/>
      <c r="H979" s="308"/>
    </row>
    <row r="980">
      <c r="E980" s="308"/>
      <c r="H980" s="308"/>
    </row>
    <row r="981">
      <c r="E981" s="308"/>
      <c r="H981" s="308"/>
    </row>
    <row r="982">
      <c r="E982" s="308"/>
      <c r="H982" s="308"/>
    </row>
    <row r="983">
      <c r="E983" s="308"/>
      <c r="H983" s="308"/>
    </row>
    <row r="984">
      <c r="E984" s="308"/>
      <c r="H984" s="308"/>
    </row>
    <row r="985">
      <c r="E985" s="308"/>
      <c r="H985" s="308"/>
    </row>
    <row r="986">
      <c r="E986" s="308"/>
      <c r="H986" s="308"/>
    </row>
    <row r="987">
      <c r="E987" s="308"/>
      <c r="H987" s="308"/>
    </row>
    <row r="988">
      <c r="E988" s="308"/>
      <c r="H988" s="308"/>
    </row>
    <row r="989">
      <c r="E989" s="308"/>
      <c r="H989" s="308"/>
    </row>
    <row r="990">
      <c r="E990" s="308"/>
      <c r="H990" s="308"/>
    </row>
    <row r="991">
      <c r="E991" s="308"/>
      <c r="H991" s="308"/>
    </row>
    <row r="992">
      <c r="E992" s="308"/>
      <c r="H992" s="308"/>
    </row>
    <row r="993">
      <c r="E993" s="308"/>
      <c r="H993" s="308"/>
    </row>
    <row r="994">
      <c r="E994" s="308"/>
      <c r="H994" s="308"/>
    </row>
    <row r="995">
      <c r="E995" s="308"/>
      <c r="H995" s="308"/>
    </row>
    <row r="996">
      <c r="E996" s="308"/>
      <c r="H996" s="308"/>
    </row>
    <row r="997">
      <c r="E997" s="308"/>
      <c r="H997" s="308"/>
    </row>
    <row r="998">
      <c r="E998" s="308"/>
      <c r="H998" s="308"/>
    </row>
    <row r="999">
      <c r="E999" s="308"/>
      <c r="H999" s="308"/>
    </row>
    <row r="1000">
      <c r="E1000" s="308"/>
      <c r="H1000" s="308"/>
    </row>
  </sheetData>
  <mergeCells count="2">
    <mergeCell ref="D1:E1"/>
    <mergeCell ref="F1:G1"/>
  </mergeCells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8.88"/>
    <col customWidth="1" min="2" max="2" width="9.75"/>
    <col customWidth="1" min="3" max="3" width="11.25"/>
    <col customWidth="1" min="4" max="4" width="10.5"/>
    <col customWidth="1" min="5" max="5" width="4.75"/>
    <col customWidth="1" min="6" max="6" width="6.13"/>
    <col customWidth="1" min="7" max="7" width="4.75"/>
    <col customWidth="1" min="8" max="8" width="7.63"/>
    <col customWidth="1" min="9" max="9" width="14.25"/>
    <col customWidth="1" min="10" max="10" width="13.75"/>
    <col customWidth="1" min="11" max="11" width="13.13"/>
    <col customWidth="1" min="12" max="12" width="15.88"/>
    <col customWidth="1" min="13" max="13" width="23.25"/>
    <col customWidth="1" min="14" max="14" width="23.38"/>
    <col customWidth="1" min="15" max="15" width="20.63"/>
    <col customWidth="1" min="16" max="16" width="9.13"/>
  </cols>
  <sheetData>
    <row r="1" ht="38.25" customHeight="1">
      <c r="A1" s="13" t="s">
        <v>5</v>
      </c>
      <c r="B1" s="105" t="s">
        <v>7</v>
      </c>
      <c r="C1" s="105" t="s">
        <v>8</v>
      </c>
      <c r="D1" s="106" t="s">
        <v>9</v>
      </c>
      <c r="E1" s="15"/>
      <c r="F1" s="106" t="s">
        <v>10</v>
      </c>
      <c r="G1" s="15"/>
      <c r="H1" s="105" t="s">
        <v>11</v>
      </c>
      <c r="I1" s="16" t="s">
        <v>12</v>
      </c>
      <c r="J1" s="13" t="s">
        <v>13</v>
      </c>
      <c r="K1" s="105" t="s">
        <v>14</v>
      </c>
      <c r="L1" s="105" t="s">
        <v>15</v>
      </c>
      <c r="M1" s="107" t="s">
        <v>16</v>
      </c>
      <c r="N1" s="105" t="s">
        <v>17</v>
      </c>
      <c r="O1" s="107" t="s">
        <v>18</v>
      </c>
      <c r="P1" s="105" t="s">
        <v>19</v>
      </c>
      <c r="Q1" s="105" t="s">
        <v>20</v>
      </c>
    </row>
    <row r="2" ht="38.25" customHeight="1">
      <c r="A2" s="38" t="s">
        <v>25</v>
      </c>
      <c r="B2" s="58" t="s">
        <v>53</v>
      </c>
      <c r="C2" s="134" t="s">
        <v>76</v>
      </c>
      <c r="D2" s="309" t="s">
        <v>96</v>
      </c>
      <c r="E2" s="309" t="s">
        <v>97</v>
      </c>
      <c r="F2" s="309" t="s">
        <v>98</v>
      </c>
      <c r="G2" s="310" t="s">
        <v>30</v>
      </c>
      <c r="H2" s="311" t="s">
        <v>99</v>
      </c>
      <c r="I2" s="150" t="s">
        <v>100</v>
      </c>
      <c r="J2" s="312" t="s">
        <v>42</v>
      </c>
      <c r="K2" s="313">
        <v>30033.0</v>
      </c>
      <c r="L2" s="161" t="s">
        <v>101</v>
      </c>
      <c r="M2" s="142" t="s">
        <v>50</v>
      </c>
      <c r="N2" s="42" t="s">
        <v>35</v>
      </c>
      <c r="O2" s="314" t="s">
        <v>102</v>
      </c>
      <c r="P2" s="121"/>
      <c r="Q2" s="143">
        <v>1.0</v>
      </c>
    </row>
    <row r="3" ht="39.0" customHeight="1">
      <c r="A3" s="38" t="s">
        <v>25</v>
      </c>
      <c r="B3" s="58" t="s">
        <v>53</v>
      </c>
      <c r="C3" s="315" t="s">
        <v>54</v>
      </c>
      <c r="D3" s="309" t="s">
        <v>96</v>
      </c>
      <c r="E3" s="309" t="s">
        <v>97</v>
      </c>
      <c r="F3" s="309" t="s">
        <v>98</v>
      </c>
      <c r="G3" s="310" t="s">
        <v>30</v>
      </c>
      <c r="H3" s="311" t="s">
        <v>104</v>
      </c>
      <c r="I3" s="150" t="s">
        <v>105</v>
      </c>
      <c r="J3" s="312" t="s">
        <v>42</v>
      </c>
      <c r="K3" s="313">
        <v>13473.0</v>
      </c>
      <c r="L3" s="161" t="s">
        <v>106</v>
      </c>
      <c r="M3" s="314" t="s">
        <v>107</v>
      </c>
      <c r="N3" s="312" t="s">
        <v>56</v>
      </c>
      <c r="O3" s="314" t="s">
        <v>108</v>
      </c>
      <c r="P3" s="301"/>
      <c r="Q3" s="143">
        <v>2.0</v>
      </c>
    </row>
  </sheetData>
  <mergeCells count="2">
    <mergeCell ref="D1:E1"/>
    <mergeCell ref="F1:G1"/>
  </mergeCells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