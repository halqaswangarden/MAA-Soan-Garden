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<sst xmlns="http://schemas.openxmlformats.org/spreadsheetml/2006/main" count="49" uniqueCount="49">
  <si>
    <t>فراہمی راشن</t>
  </si>
  <si>
    <t>انتطام سحری افطاری</t>
  </si>
  <si>
    <t>مالی مدد</t>
  </si>
  <si>
    <t>نئے کپڑے</t>
  </si>
  <si>
    <t>Ayadat Patients</t>
  </si>
  <si>
    <t>Qadion ki Behbood</t>
  </si>
  <si>
    <t>Khidmat e Khalq</t>
  </si>
  <si>
    <t>Waqar e Amal</t>
  </si>
  <si>
    <t>Weak Persons ki kho</t>
  </si>
  <si>
    <t>مستحقین</t>
  </si>
  <si>
    <t>مقدار راشن کلو</t>
  </si>
  <si>
    <t>قیمت راشن</t>
  </si>
  <si>
    <t>افراد</t>
  </si>
  <si>
    <t>ہمسائے</t>
  </si>
  <si>
    <t>کتنے افراد</t>
  </si>
  <si>
    <t>کل رقم</t>
  </si>
  <si>
    <t>کل تعداد</t>
  </si>
  <si>
    <t xml:space="preserve">Total No </t>
  </si>
  <si>
    <t>Amount</t>
  </si>
  <si>
    <t>امان اللہ صاحب</t>
  </si>
  <si>
    <t>مبشر احمد ورک صاحب</t>
  </si>
  <si>
    <t>ارسلان عزیز صاحب</t>
  </si>
  <si>
    <t>ملک عبدالعزیز صاحب</t>
  </si>
  <si>
    <t>انوار بخاری صاحب</t>
  </si>
  <si>
    <t>توصیف احمد صاحب</t>
  </si>
  <si>
    <t>ثمر مہدی صاحب</t>
  </si>
  <si>
    <t>چوہدری مناضر احمد صاحب</t>
  </si>
  <si>
    <t>حفیظ احمد منصور صاحب</t>
  </si>
  <si>
    <t>رفیق احمد صالح صاحب</t>
  </si>
  <si>
    <t>رفیق احمد وڑایچ صاحب</t>
  </si>
  <si>
    <t>زاہد تنویر صاحب</t>
  </si>
  <si>
    <t>طاہر وہاب صاحب</t>
  </si>
  <si>
    <t>عبدالقیوم قریشی صاحب</t>
  </si>
  <si>
    <t>فاروق احمد صاحب</t>
  </si>
  <si>
    <t>مبشر اقبال قریشی صاحب</t>
  </si>
  <si>
    <t>محمد احسن ظفر صاحب</t>
  </si>
  <si>
    <t>محمد حبیب اللہ صاحب</t>
  </si>
  <si>
    <t>محمد عبدالسلام صاحب</t>
  </si>
  <si>
    <t>مرزا عبدالرزاق صاحب</t>
  </si>
  <si>
    <t>منور احمد صاحب</t>
  </si>
  <si>
    <t>ناصر احمد ورک صاحب</t>
  </si>
  <si>
    <t>حبیب احمد صاحب</t>
  </si>
  <si>
    <t>حفاظت عمران صاحب</t>
  </si>
  <si>
    <t>نصراللہ حشام صاحب</t>
  </si>
  <si>
    <t>ناصر محمود صاحب</t>
  </si>
  <si>
    <t>فیصل قمر صاحب</t>
  </si>
  <si>
    <t>منیر احمد قریشی صاحب</t>
  </si>
  <si>
    <t>ملک احمد رضوان صاحب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</si>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</sst>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4" fillId="2" fontId="1" numFmtId="0" xfId="0" applyAlignment="1" applyBorder="1" applyFont="1">
      <alignment horizontal="center" readingOrder="0" vertical="bottom"/>
    </xf>
    <xf borderId="4" fillId="3" fontId="1" numFmtId="0" xfId="0" applyAlignment="1" applyBorder="1" applyFill="1" applyFont="1">
      <alignment horizontal="right" vertical="bottom"/>
    </xf>
    <xf borderId="5" fillId="3" fontId="1" numFmtId="0" xfId="0" applyAlignment="1" applyBorder="1" applyFont="1">
      <alignment horizontal="right" vertical="bottom"/>
    </xf>
    <xf borderId="5" fillId="2" fontId="1" numFmtId="0" xfId="0" applyAlignment="1" applyBorder="1" applyFont="1">
      <alignment horizontal="right"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2.25"/>
    <col customWidth="1" min="3" max="4" width="12.75"/>
    <col customWidth="1" min="7" max="8" width="10.75"/>
    <col customWidth="1" min="9" max="10" width="7.13"/>
  </cols>
  <sheetData>
    <row r="1">
      <c r="B1" s="1" t="s">
        <v>0</v>
      </c>
      <c r="C1" s="2"/>
      <c r="D1" s="3"/>
      <c r="E1" s="1" t="s">
        <v>1</v>
      </c>
      <c r="F1" s="3"/>
      <c r="G1" s="1" t="s">
        <v>2</v>
      </c>
      <c r="H1" s="3"/>
      <c r="I1" s="1" t="s">
        <v>3</v>
      </c>
      <c r="J1" s="3"/>
      <c r="K1" s="4" t="s">
        <v>4</v>
      </c>
      <c r="L1" s="5" t="s">
        <v>5</v>
      </c>
      <c r="N1" s="5" t="s">
        <v>6</v>
      </c>
      <c r="O1" s="5" t="s">
        <v>7</v>
      </c>
      <c r="Q1" s="5" t="s">
        <v>8</v>
      </c>
    </row>
    <row r="2"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5"/>
      <c r="J2" s="6" t="s">
        <v>16</v>
      </c>
      <c r="L2" s="5" t="s">
        <v>17</v>
      </c>
      <c r="M2" s="5" t="s">
        <v>18</v>
      </c>
    </row>
    <row r="3">
      <c r="A3" s="7" t="s">
        <v>19</v>
      </c>
      <c r="B3" s="5">
        <v>10.0</v>
      </c>
      <c r="C3" s="5">
        <v>30.0</v>
      </c>
      <c r="D3" s="5">
        <v>20000.0</v>
      </c>
      <c r="E3" s="5">
        <v>25.0</v>
      </c>
      <c r="G3" s="5">
        <v>5.0</v>
      </c>
      <c r="H3" s="5">
        <v>15000.0</v>
      </c>
    </row>
    <row r="4">
      <c r="A4" s="8" t="s">
        <v>20</v>
      </c>
      <c r="G4" s="5">
        <v>30.0</v>
      </c>
      <c r="H4" s="5">
        <v>9000.0</v>
      </c>
    </row>
    <row r="5">
      <c r="A5" s="9" t="s">
        <v>21</v>
      </c>
    </row>
    <row r="6">
      <c r="A6" s="9" t="s">
        <v>22</v>
      </c>
    </row>
    <row r="7">
      <c r="A7" s="9" t="s">
        <v>23</v>
      </c>
    </row>
    <row r="8">
      <c r="A8" s="8" t="s">
        <v>24</v>
      </c>
      <c r="G8" s="5">
        <v>8.0</v>
      </c>
      <c r="H8" s="5">
        <v>8000.0</v>
      </c>
      <c r="J8" s="5">
        <v>4.0</v>
      </c>
    </row>
    <row r="9">
      <c r="A9" s="9" t="s">
        <v>25</v>
      </c>
    </row>
    <row r="10">
      <c r="A10" s="8" t="s">
        <v>26</v>
      </c>
      <c r="B10" s="10">
        <f>sum(18*6)</f>
        <v>108</v>
      </c>
      <c r="C10" s="5">
        <v>500.0</v>
      </c>
      <c r="D10" s="5">
        <v>100000.0</v>
      </c>
      <c r="G10" s="5">
        <v>10.0</v>
      </c>
      <c r="H10" s="5">
        <v>25000.0</v>
      </c>
      <c r="K10" s="5">
        <v>10.0</v>
      </c>
      <c r="Q10" s="5">
        <v>10.0</v>
      </c>
    </row>
    <row r="11">
      <c r="A11" s="9" t="s">
        <v>27</v>
      </c>
    </row>
    <row r="12">
      <c r="A12" s="9" t="s">
        <v>28</v>
      </c>
    </row>
    <row r="13">
      <c r="A13" s="8" t="s">
        <v>29</v>
      </c>
      <c r="B13" s="5">
        <v>10.0</v>
      </c>
      <c r="C13" s="5">
        <v>15.0</v>
      </c>
      <c r="D13" s="5">
        <v>10000.0</v>
      </c>
      <c r="K13" s="5">
        <v>1.0</v>
      </c>
      <c r="M13" s="5">
        <v>50000.0</v>
      </c>
    </row>
    <row r="14">
      <c r="A14" s="9" t="s">
        <v>30</v>
      </c>
    </row>
    <row r="15">
      <c r="A15" s="9" t="s">
        <v>31</v>
      </c>
    </row>
    <row r="16">
      <c r="A16" s="9" t="s">
        <v>32</v>
      </c>
    </row>
    <row r="17">
      <c r="A17" s="9" t="s">
        <v>33</v>
      </c>
    </row>
    <row r="18">
      <c r="A18" s="9" t="s">
        <v>34</v>
      </c>
    </row>
    <row r="19">
      <c r="A19" s="8" t="s">
        <v>35</v>
      </c>
    </row>
    <row r="20">
      <c r="A20" s="8" t="s">
        <v>36</v>
      </c>
      <c r="D20" s="5">
        <v>4000.0</v>
      </c>
      <c r="I20" s="5"/>
      <c r="J20" s="5">
        <v>3.0</v>
      </c>
    </row>
    <row r="21">
      <c r="A21" s="8" t="s">
        <v>37</v>
      </c>
      <c r="G21" s="5">
        <v>10.0</v>
      </c>
      <c r="H21" s="5">
        <v>3000.0</v>
      </c>
      <c r="K21" s="5">
        <v>2.0</v>
      </c>
    </row>
    <row r="22">
      <c r="A22" s="9" t="s">
        <v>38</v>
      </c>
    </row>
    <row r="23">
      <c r="A23" s="8" t="s">
        <v>39</v>
      </c>
      <c r="B23" s="5">
        <v>12.0</v>
      </c>
      <c r="C23" s="5">
        <v>75.0</v>
      </c>
      <c r="D23" s="5">
        <v>50000.0</v>
      </c>
      <c r="G23" s="5">
        <v>5.0</v>
      </c>
      <c r="H23" s="5">
        <v>5000.0</v>
      </c>
      <c r="J23" s="5">
        <v>15.0</v>
      </c>
      <c r="K23" s="5">
        <v>2.0</v>
      </c>
    </row>
    <row r="24">
      <c r="A24" s="8" t="s">
        <v>40</v>
      </c>
      <c r="G24" s="5">
        <v>3.0</v>
      </c>
      <c r="H24" s="5">
        <v>1600.0</v>
      </c>
      <c r="J24" s="5">
        <v>3.0</v>
      </c>
      <c r="K24" s="5">
        <v>2.0</v>
      </c>
    </row>
    <row r="25">
      <c r="A25" s="8" t="s">
        <v>41</v>
      </c>
      <c r="E25" s="5">
        <v>55.0</v>
      </c>
      <c r="F25" s="5">
        <v>5.0</v>
      </c>
      <c r="G25" s="5">
        <v>10.0</v>
      </c>
      <c r="H25" s="5">
        <v>5000.0</v>
      </c>
    </row>
    <row r="26">
      <c r="A26" s="9" t="s">
        <v>42</v>
      </c>
    </row>
    <row r="27">
      <c r="A27" s="8" t="s">
        <v>43</v>
      </c>
    </row>
    <row r="28">
      <c r="A28" s="8" t="s">
        <v>44</v>
      </c>
      <c r="G28" s="5">
        <v>4.0</v>
      </c>
      <c r="H28" s="5">
        <v>2000.0</v>
      </c>
      <c r="K28" s="5">
        <v>2.0</v>
      </c>
      <c r="Q28" s="5">
        <v>5.0</v>
      </c>
    </row>
    <row r="29">
      <c r="A29" s="8" t="s">
        <v>45</v>
      </c>
      <c r="E29" s="5">
        <v>6.0</v>
      </c>
      <c r="F29" s="5">
        <v>6.0</v>
      </c>
      <c r="G29" s="5">
        <v>3.0</v>
      </c>
      <c r="H29" s="5">
        <v>3000.0</v>
      </c>
    </row>
    <row r="30">
      <c r="A30" s="8" t="s">
        <v>46</v>
      </c>
      <c r="E30" s="5">
        <v>10.0</v>
      </c>
      <c r="H30" s="5">
        <v>4050.0</v>
      </c>
    </row>
    <row r="31">
      <c r="A31" s="9" t="s">
        <v>47</v>
      </c>
    </row>
    <row r="32">
      <c r="A32" s="11" t="s">
        <v>48</v>
      </c>
      <c r="B32" s="12">
        <f t="shared" ref="B32:R32" si="1">sum(B3:B31)</f>
        <v>140</v>
      </c>
      <c r="C32" s="12">
        <f t="shared" si="1"/>
        <v>620</v>
      </c>
      <c r="D32" s="12">
        <f t="shared" si="1"/>
        <v>184000</v>
      </c>
      <c r="E32" s="12">
        <f t="shared" si="1"/>
        <v>96</v>
      </c>
      <c r="F32" s="12">
        <f t="shared" si="1"/>
        <v>11</v>
      </c>
      <c r="G32" s="12">
        <f t="shared" si="1"/>
        <v>88</v>
      </c>
      <c r="H32" s="12">
        <f t="shared" si="1"/>
        <v>80650</v>
      </c>
      <c r="I32" s="12">
        <f t="shared" si="1"/>
        <v>0</v>
      </c>
      <c r="J32" s="12">
        <f t="shared" si="1"/>
        <v>25</v>
      </c>
      <c r="K32" s="12">
        <f t="shared" si="1"/>
        <v>19</v>
      </c>
      <c r="L32" s="12">
        <f t="shared" si="1"/>
        <v>0</v>
      </c>
      <c r="M32" s="12">
        <f t="shared" si="1"/>
        <v>50000</v>
      </c>
      <c r="N32" s="12">
        <f t="shared" si="1"/>
        <v>0</v>
      </c>
      <c r="O32" s="12">
        <f t="shared" si="1"/>
        <v>0</v>
      </c>
      <c r="P32" s="12">
        <f t="shared" si="1"/>
        <v>0</v>
      </c>
      <c r="Q32" s="12">
        <f t="shared" si="1"/>
        <v>15</v>
      </c>
      <c r="R32" s="12">
        <f t="shared" si="1"/>
        <v>0</v>
      </c>
      <c r="S32" s="12"/>
      <c r="T32" s="12">
        <f>sum(T3:T31)</f>
        <v>0</v>
      </c>
    </row>
  </sheetData>
  <mergeCells count="6">
    <mergeCell ref="B1:D1"/>
    <mergeCell ref="E1:F1"/>
    <mergeCell ref="G1:H1"/>
    <mergeCell ref="I1:J1"/>
    <mergeCell ref="L1:M1"/>
    <mergeCell ref="O1:P1"/>
  </mergeCells>
  <drawing r:id="rId1"/>
</worksheet>
</file>