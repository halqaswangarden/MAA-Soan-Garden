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V2e4pKUR7LQT4jdgtPmznmmBGcP5Oef8MO9CLcrt6k="/>
    </ext>
  </extLst>
</workbook>
</file>

<file path=xl/sharedStrings.xml><?xml version="1.0" encoding="utf-8"?>
<sst xmlns="http://schemas.openxmlformats.org/spreadsheetml/2006/main" count="121" uniqueCount="88">
  <si>
    <t>مقابلہ بین المجالس 2024ء</t>
  </si>
  <si>
    <t>کل نمبر</t>
  </si>
  <si>
    <t>شعبہ جات</t>
  </si>
  <si>
    <t>نمبر شمار</t>
  </si>
  <si>
    <t xml:space="preserve"> تجنید</t>
  </si>
  <si>
    <t>عمومی</t>
  </si>
  <si>
    <t>تعلیم</t>
  </si>
  <si>
    <t>تعلیم ۔۔۔۔ وقف عارضی</t>
  </si>
  <si>
    <t>تربیت</t>
  </si>
  <si>
    <t>اصلاح و ارشاد</t>
  </si>
  <si>
    <t>ایثار</t>
  </si>
  <si>
    <t>ذہانت و صحت جسمانی</t>
  </si>
  <si>
    <t>صف دوم</t>
  </si>
  <si>
    <t>تحریک جدید</t>
  </si>
  <si>
    <t>وقف  جدید</t>
  </si>
  <si>
    <t>مال</t>
  </si>
  <si>
    <t>آڈٹ</t>
  </si>
  <si>
    <t xml:space="preserve">    عمومی تاثر   ۔۔۔ ناظم اعلیٰ ضلع</t>
  </si>
  <si>
    <t>کل میزان</t>
  </si>
  <si>
    <t xml:space="preserve">    رجسٹر تجنید  مکمل ہو۔</t>
  </si>
  <si>
    <t xml:space="preserve">    مرکز بروقت تجنیدبھجوائی گئی ۔</t>
  </si>
  <si>
    <t xml:space="preserve">    100فیصد تجنید کارڈ۔ </t>
  </si>
  <si>
    <t>تمام انصار (خواہ وہ تعاون یا چندہ جات کی ادائیگی میں کمزور ھوں) کوتجنید میں شامل کیا گیا ہو۔</t>
  </si>
  <si>
    <t>سائقین کا فعال نظام</t>
  </si>
  <si>
    <t>تمام حلقہ جات میں سائقین کی منظوری لے کر تقرر کیا گیا ہو اور ان کا ماہانہ اجلاس بلایا گیاہو۔</t>
  </si>
  <si>
    <t>مجلس عاملہ بروقت بھجوائی گئی ہو۔</t>
  </si>
  <si>
    <t>کم از  کم ہر ماہ مجلس کے 2  اجلاس عاملہ کا انعقاد کیا گیا ہو۔</t>
  </si>
  <si>
    <t>کم از  کم ہر ماہ ایک مجلس کا اجلاس عام  انعقاد کیا گیا ہو۔</t>
  </si>
  <si>
    <t>مجلس کا ریفریشر کورس  منعقدکیا ہو۔</t>
  </si>
  <si>
    <t>انفرادی رپورٹ فارم ہر سہ ماہی میں 100فیصد انصار سےمکمل کروایا ہو۔</t>
  </si>
  <si>
    <t>مجلس کی ماہانہ رپورٹ  12 ماہ کی بروقت ضلع و مرکز ارسال کے ہو۔ (ہر ماہ کی 8 تاریخ کو)</t>
  </si>
  <si>
    <t>سالانہ تربیتی اجتماع مجلس کا انعقاد کیا ہو۔</t>
  </si>
  <si>
    <t>سالانہ رپورٹ مجلس بنائی ہو۔</t>
  </si>
  <si>
    <t>زعیم اعلیٰ / زعیم مجلس نے 100فیصد انصار سے ملاقات کی ہو۔</t>
  </si>
  <si>
    <t>زعماء حلقہ جات کے انتخابات اور عاملہ 100 فیصد بروقت مکمل ہوں۔</t>
  </si>
  <si>
    <t>رجسٹر کاروائی عاملہ اجلاس موجود اور مکمل ہو (زعیم اعلیٰ / زعیم مجلس  کے دستحط ہوں)۔</t>
  </si>
  <si>
    <t>زعیم اعلیٰ / زعیم مجلس  تمام مرکز سے موصول شدہ ڈاک کی فوٹو کاپیز اپنے تمام زعماء حلقہ جات اور تمام متعلقہ منتظمین کو بروقت پہنچاتے رہے ہوں۔</t>
  </si>
  <si>
    <t>کم از کم 50 فیصد اوسطاً انصار نے مطالعہ کتب یا آڈیو سنی ہو۔</t>
  </si>
  <si>
    <t>نماز باترجمہ 100 فیصد انصار جانتے ہوں ۔</t>
  </si>
  <si>
    <t>مجلس کی علمی ریلی کا انعقاد کیا گیا ہو ۔</t>
  </si>
  <si>
    <t>ضلعی  علمی ریلی میں مجلس کے انصار کی شمولیت لازمی ہو۔</t>
  </si>
  <si>
    <t>مجلس حسن بیان اور مجلس انصار سلطان القلم کا قیام ہوا اور ان کےماہانہ اجلاسات ہوئےہوں۔</t>
  </si>
  <si>
    <t>ناظرہ  100 فیصد انصار جانتے ہوں ۔</t>
  </si>
  <si>
    <t>ہر ماہ کم از کم 2 ترجمہ کلاسز کا انعقاد کیا گیا ہو۔</t>
  </si>
  <si>
    <t>کم از کم 75 فیصد انصار روزانہ 2 رکوع معہ ترجمہ تلاوت کرتے ہوں ۔</t>
  </si>
  <si>
    <t>وقف عارضی کا 100 فیصد کا ٹارگٹ بمعہ رپورٹ حاصل کیا گیا ہو۔</t>
  </si>
  <si>
    <t xml:space="preserve"> مرکزی عشرہ کی رپورٹ مرکز و ضلع بروقت ارسال کیں۔</t>
  </si>
  <si>
    <t>ہر ماہ کم از کم ایک تربیتی کمیٹی کا اجلاس منعقد کیا گیا ہو۔</t>
  </si>
  <si>
    <t>پنجوقتہ نماز 100 فیصد انصار ادا کرتے ہوں ۔</t>
  </si>
  <si>
    <t xml:space="preserve"> نماز باجماعت کے 65 فیصد انصار ادا کرتے ہوں ۔</t>
  </si>
  <si>
    <t>خطبات حضور انور  100 فیصد انصار سننے والے  ہوں ۔</t>
  </si>
  <si>
    <t>کم از کم 100 فیصد انصار نماز جمعہ ادا کرتے  ہوں۔</t>
  </si>
  <si>
    <t>کم از کم 50 فیصد گھرانوں میں فیملی کلاسز کا انعقاد ہوا ہو۔</t>
  </si>
  <si>
    <t>کم از کم 75 فیصد انصار THIS WEEK WITH HAZOORدیکھتے  ہوں۔</t>
  </si>
  <si>
    <t>شرائط بیعت اور عہد خلافت کم از کم 25 فیصد انصار کو یاد ہو۔</t>
  </si>
  <si>
    <t>ہر ماہ ایک اصلاح و ارشادی کمیٹی کا اجلاس منعقد کیا ہو۔</t>
  </si>
  <si>
    <t>دوران سال 2 جلسہ سیرت النبی ﷺ کا  انعقاد کیا ہو۔</t>
  </si>
  <si>
    <t>دوران سال 2 مجلس سوال و جواب  کا  انعقاد کیا ہو۔</t>
  </si>
  <si>
    <t>مجلس  میں اختلافی مسائل(وفات مسیح، ختم نبوت اور صداقت حضرت مسیح موعود) کی ماہانہ کلاسزمنعقد کی گئی ہوں۔</t>
  </si>
  <si>
    <t>مجلس کے  انصار دوستوں کی خوشیوں اور غموں میں شریک ہوتے رہے ہوں۔</t>
  </si>
  <si>
    <t>دوران سال کم از کم ایک پھل حاصل کیا ہو۔</t>
  </si>
  <si>
    <t>دوران سال کم از کم 4 میڈیکل کیمپ کا  مجلس کی سطح پر   انعقاد کیا ہو۔</t>
  </si>
  <si>
    <t>دوران سال 2 اجتماعی    وقار عمل   مجلس کی سطح پر کئے گئے  ہواور حاضری40فیصد رہی ہو۔</t>
  </si>
  <si>
    <t xml:space="preserve">  مجلس کی سطح  پر ہر سہ ماہی میں کم از کم ایک    وقار عمل  کیا گیا ۔</t>
  </si>
  <si>
    <t xml:space="preserve"> مجلس نے اپنا چندہ خدمت خلق کا 100فیصد  ٹارگٹ پورا کیاہو ۔</t>
  </si>
  <si>
    <t>دوران سال کم از کم ایک مجلس کی سطح پر ورزشی مقابلہ جات کا انعقاد کیا ہو۔</t>
  </si>
  <si>
    <t>ضلعی  ورزشی مقابلہ جات میں مجلس کے انصار نے شمولیت کی  ہو۔</t>
  </si>
  <si>
    <t>مجلس کے 50 فیصد انصار سیر یا ورزش کے عادی ہوں ۔</t>
  </si>
  <si>
    <t>دوران سال مجلس کی سطح پر ایک پکنک کا  انعقاد کیاگیا ہواور حاضری 25فیصد ہو۔</t>
  </si>
  <si>
    <t>دوران سال مجلس کی سطح پر 2 طبی لیکچر  کا  انعقاد کیا گیا ہواور حاضری 25فیصد ہو۔</t>
  </si>
  <si>
    <t>مجلس کے 60 فیصد انصار موصی ہوں ۔</t>
  </si>
  <si>
    <t>مجلس عاملہ کے 100فیصد عہدیداران موصی ہوں ۔</t>
  </si>
  <si>
    <t>دوران سال 100 فیصد غیر موصی انصار نے رسالہ الوصیت کا مطالعہ کیا ہو۔</t>
  </si>
  <si>
    <t>دوران سال مجلس کی سطح پرایک سائیکل سفر   کا  انعقاد کیا ہواور حاضری 25فیصد ہو۔</t>
  </si>
  <si>
    <t>مجلس کے 100 فیصد انصار تحریک جدید میں شامل ہوں اور وعدہ جات معیاری ہوں ۔</t>
  </si>
  <si>
    <t>معیاری وعدہ جات کے حصول اور ادائیگی میں جماعتی نظام کی معاونت کی گئی ہو۔</t>
  </si>
  <si>
    <t>مجلس کے 100 فیصد انصار وقف جدید میں شامل ہوں اور وعدہ جات معیاری ہوں ۔۔</t>
  </si>
  <si>
    <t xml:space="preserve">    مرکز بروقت بجٹ بھجوایا گیا ہو ۔</t>
  </si>
  <si>
    <t>ہر ماہ چندہ جات بروقت مرکز ترسیل کیا گیا ہو۔</t>
  </si>
  <si>
    <t>ماہ نومبر تک حصہ مرکز 100 فیصد ادا کر دیا گیا ہو۔</t>
  </si>
  <si>
    <t>ماہ دسمبر تک مجلس کا مقامی حصہ 100 فیصد وصول کر لیا ہو۔</t>
  </si>
  <si>
    <t>توسیع عمارات کا 100 فیصد ٹارگٹ پورا کیا گیا ہو۔</t>
  </si>
  <si>
    <t>مجلس کا مرکز ی آڈٹ مکمل ہو۔</t>
  </si>
  <si>
    <t>رسید بکس کا ریکارڈ مکمل ہو۔</t>
  </si>
  <si>
    <t>مجلس کے روزنامچہ اور کھاتا جات کا ریکارڈ مکمل ہو۔</t>
  </si>
  <si>
    <t>مجلس کے آڈیٹر نے حسابات کا آڈٹ کیا ہو۔</t>
  </si>
  <si>
    <t>اشاعت</t>
  </si>
  <si>
    <t>تربیت نومبائعین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</si>
</sst>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Jameel noori nastaleeq"/>
    </font>
    <font/>
    <font>
      <b/>
      <sz val="22.0"/>
      <color theme="1"/>
      <name val="Jameel noori nastaleeq"/>
    </font>
    <font>
      <b/>
      <sz val="11.0"/>
      <color theme="1"/>
      <name val="Calibri"/>
    </font>
    <font>
      <sz val="11.0"/>
      <color theme="1"/>
      <name val="Jameel noori nastaleeq"/>
    </font>
    <font>
      <b/>
      <sz val="18.0"/>
      <color theme="1"/>
      <name val="Calibri"/>
    </font>
    <font>
      <b/>
      <u/>
      <sz val="18.0"/>
      <color rgb="FF0000FF"/>
      <name val="Jameel noori nastaleeq"/>
    </font>
    <font>
      <b/>
      <sz val="18.0"/>
      <color theme="1"/>
      <name val="Jameel noori nastaleeq"/>
    </font>
    <font>
      <b/>
      <sz val="18.0"/>
      <color theme="1"/>
      <name val="Times New Roman"/>
    </font>
    <font>
      <b/>
      <sz val="22.0"/>
      <color theme="1"/>
      <name val="Calibri"/>
    </font>
    <font>
      <b/>
      <sz val="14.0"/>
      <color theme="1"/>
      <name val="Jameel noori nastaleeq"/>
    </font>
    <font>
      <b/>
      <sz val="14.0"/>
      <color theme="1"/>
      <name val="Times New Roman"/>
    </font>
    <font>
      <sz val="18.0"/>
      <color theme="1"/>
      <name val="Times New Roman"/>
    </font>
    <font>
      <b/>
      <sz val="18.0"/>
      <color theme="1"/>
      <name val="Arial"/>
    </font>
    <font>
      <b/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9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5" fillId="4" fontId="10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readingOrder="0" shrinkToFit="0" vertical="center" wrapText="1"/>
    </xf>
    <xf borderId="5" fillId="2" fontId="10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13" numFmtId="0" xfId="0" applyAlignment="1" applyBorder="1" applyFont="1">
      <alignment horizontal="center" vertical="center"/>
    </xf>
    <xf borderId="1" fillId="2" fontId="14" numFmtId="0" xfId="0" applyAlignment="1" applyBorder="1" applyFont="1">
      <alignment vertical="center"/>
    </xf>
    <xf borderId="1" fillId="2" fontId="6" numFmtId="0" xfId="0" applyAlignment="1" applyBorder="1" applyFont="1">
      <alignment horizontal="right" shrinkToFit="0" vertical="center" wrapText="1"/>
    </xf>
    <xf borderId="5" fillId="4" fontId="15" numFmtId="0" xfId="0" applyAlignment="1" applyBorder="1" applyFont="1">
      <alignment horizontal="center" readingOrder="0" shrinkToFit="0" vertical="center" wrapText="1"/>
    </xf>
    <xf borderId="5" fillId="2" fontId="16" numFmtId="0" xfId="0" applyAlignment="1" applyBorder="1" applyFont="1">
      <alignment horizontal="right" readingOrder="0" shrinkToFit="0" vertical="center" wrapText="1"/>
    </xf>
    <xf borderId="5" fillId="2" fontId="1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.29"/>
    <col customWidth="1" min="3" max="3" width="11.71"/>
    <col customWidth="1" min="4" max="4" width="78.86"/>
    <col customWidth="1" min="5" max="5" width="10.71"/>
    <col customWidth="1" min="6" max="6" width="1.29"/>
    <col customWidth="1" min="7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2" t="s">
        <v>0</v>
      </c>
      <c r="D3" s="3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5" t="s">
        <v>1</v>
      </c>
      <c r="D5" s="5" t="s">
        <v>2</v>
      </c>
      <c r="E5" s="5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0" customHeight="1">
      <c r="A6" s="1"/>
      <c r="B6" s="1"/>
      <c r="C6" s="6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8">
        <f>C25</f>
        <v>30</v>
      </c>
      <c r="D7" s="9" t="s">
        <v>4</v>
      </c>
      <c r="E7" s="10">
        <v>1.0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8">
        <f>C35</f>
        <v>60</v>
      </c>
      <c r="D8" s="9" t="s">
        <v>5</v>
      </c>
      <c r="E8" s="10">
        <f t="shared" ref="E8:E20" si="1">E7+1</f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8">
        <f>C51</f>
        <v>25</v>
      </c>
      <c r="D9" s="9" t="s">
        <v>6</v>
      </c>
      <c r="E9" s="10">
        <f t="shared" si="1"/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8">
        <f>C60</f>
        <v>25</v>
      </c>
      <c r="D10" s="9" t="s">
        <v>7</v>
      </c>
      <c r="E10" s="10">
        <f t="shared" si="1"/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8">
        <f>C69</f>
        <v>45</v>
      </c>
      <c r="D11" s="9" t="s">
        <v>8</v>
      </c>
      <c r="E11" s="10">
        <f t="shared" si="1"/>
        <v>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8">
        <f>C82</f>
        <v>30</v>
      </c>
      <c r="D12" s="9" t="s">
        <v>9</v>
      </c>
      <c r="E12" s="10">
        <f t="shared" si="1"/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8">
        <f>C92</f>
        <v>20</v>
      </c>
      <c r="D13" s="9" t="s">
        <v>10</v>
      </c>
      <c r="E13" s="10">
        <f t="shared" si="1"/>
        <v>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8">
        <f>C100</f>
        <v>25</v>
      </c>
      <c r="D14" s="9" t="s">
        <v>11</v>
      </c>
      <c r="E14" s="10">
        <f t="shared" si="1"/>
        <v>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8">
        <f>C109</f>
        <v>25</v>
      </c>
      <c r="D15" s="9" t="s">
        <v>12</v>
      </c>
      <c r="E15" s="10">
        <f t="shared" si="1"/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8">
        <f>C118</f>
        <v>15</v>
      </c>
      <c r="D16" s="9" t="s">
        <v>13</v>
      </c>
      <c r="E16" s="10">
        <f t="shared" si="1"/>
        <v>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8">
        <f>C125</f>
        <v>15</v>
      </c>
      <c r="D17" s="9" t="s">
        <v>14</v>
      </c>
      <c r="E17" s="10">
        <f t="shared" si="1"/>
        <v>11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8">
        <f>C132</f>
        <v>25</v>
      </c>
      <c r="D18" s="9" t="s">
        <v>15</v>
      </c>
      <c r="E18" s="10">
        <f t="shared" si="1"/>
        <v>12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8">
        <f>C141</f>
        <v>20</v>
      </c>
      <c r="D19" s="9" t="s">
        <v>16</v>
      </c>
      <c r="E19" s="10">
        <f t="shared" si="1"/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8">
        <v>15.0</v>
      </c>
      <c r="D20" s="11" t="s">
        <v>17</v>
      </c>
      <c r="E20" s="10">
        <f t="shared" si="1"/>
        <v>14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0" customHeight="1">
      <c r="A21" s="1"/>
      <c r="B21" s="1"/>
      <c r="C21" s="12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9.0" customHeight="1">
      <c r="A22" s="1"/>
      <c r="B22" s="1"/>
      <c r="C22" s="13">
        <f>SUM(C7:C21)</f>
        <v>375</v>
      </c>
      <c r="D22" s="14" t="s">
        <v>18</v>
      </c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0" customHeight="1">
      <c r="A25" s="1"/>
      <c r="B25" s="1"/>
      <c r="C25" s="16">
        <f>SUM(C27:C32)</f>
        <v>30</v>
      </c>
      <c r="D25" s="17" t="s">
        <v>4</v>
      </c>
      <c r="E25" s="17" t="s">
        <v>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.0" customHeight="1">
      <c r="A26" s="1"/>
      <c r="B26" s="1"/>
      <c r="C26" s="12"/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8">
        <v>5.0</v>
      </c>
      <c r="D27" s="19" t="s">
        <v>19</v>
      </c>
      <c r="E27" s="20">
        <v>1.0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8">
        <v>5.0</v>
      </c>
      <c r="D28" s="19" t="s">
        <v>20</v>
      </c>
      <c r="E28" s="20">
        <f t="shared" ref="E28:E31" si="2">E27+1</f>
        <v>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8">
        <v>5.0</v>
      </c>
      <c r="D29" s="19" t="s">
        <v>21</v>
      </c>
      <c r="E29" s="20">
        <f t="shared" si="2"/>
        <v>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8">
        <v>5.0</v>
      </c>
      <c r="D30" s="19" t="s">
        <v>22</v>
      </c>
      <c r="E30" s="20">
        <f t="shared" si="2"/>
        <v>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8">
        <v>5.0</v>
      </c>
      <c r="D31" s="19" t="s">
        <v>23</v>
      </c>
      <c r="E31" s="20">
        <f t="shared" si="2"/>
        <v>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8">
        <v>5.0</v>
      </c>
      <c r="D32" s="19" t="s">
        <v>24</v>
      </c>
      <c r="E32" s="20">
        <f>E30+1</f>
        <v>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9.0" customHeight="1">
      <c r="A33" s="1"/>
      <c r="B33" s="1"/>
      <c r="C33" s="21"/>
      <c r="D33" s="2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9.0" customHeight="1">
      <c r="A34" s="1"/>
      <c r="B34" s="1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3.0" customHeight="1">
      <c r="A35" s="1"/>
      <c r="B35" s="1"/>
      <c r="C35" s="16">
        <f>SUM(C37:C48)</f>
        <v>60</v>
      </c>
      <c r="D35" s="17" t="s">
        <v>5</v>
      </c>
      <c r="E35" s="17" t="s">
        <v>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9.0" customHeight="1">
      <c r="A36" s="1"/>
      <c r="B36" s="1"/>
      <c r="C36" s="12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8">
        <v>5.0</v>
      </c>
      <c r="D37" s="19" t="s">
        <v>25</v>
      </c>
      <c r="E37" s="20">
        <v>1.0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8">
        <v>5.0</v>
      </c>
      <c r="D38" s="19" t="s">
        <v>26</v>
      </c>
      <c r="E38" s="20">
        <f t="shared" ref="E38:E48" si="3">E37+1</f>
        <v>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8">
        <v>5.0</v>
      </c>
      <c r="D39" s="19" t="s">
        <v>27</v>
      </c>
      <c r="E39" s="20">
        <f t="shared" si="3"/>
        <v>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8">
        <v>5.0</v>
      </c>
      <c r="D40" s="19" t="s">
        <v>28</v>
      </c>
      <c r="E40" s="20">
        <f t="shared" si="3"/>
        <v>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8">
        <v>5.0</v>
      </c>
      <c r="D41" s="19" t="s">
        <v>29</v>
      </c>
      <c r="E41" s="20">
        <f t="shared" si="3"/>
        <v>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8">
        <v>5.0</v>
      </c>
      <c r="D42" s="19" t="s">
        <v>30</v>
      </c>
      <c r="E42" s="20">
        <f t="shared" si="3"/>
        <v>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8">
        <v>5.0</v>
      </c>
      <c r="D43" s="19" t="s">
        <v>31</v>
      </c>
      <c r="E43" s="20">
        <f t="shared" si="3"/>
        <v>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8">
        <v>5.0</v>
      </c>
      <c r="D44" s="19" t="s">
        <v>32</v>
      </c>
      <c r="E44" s="20">
        <f t="shared" si="3"/>
        <v>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8">
        <v>5.0</v>
      </c>
      <c r="D45" s="19" t="s">
        <v>33</v>
      </c>
      <c r="E45" s="20">
        <f t="shared" si="3"/>
        <v>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8">
        <v>5.0</v>
      </c>
      <c r="D46" s="19" t="s">
        <v>34</v>
      </c>
      <c r="E46" s="20">
        <f t="shared" si="3"/>
        <v>10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8">
        <v>5.0</v>
      </c>
      <c r="D47" s="19" t="s">
        <v>35</v>
      </c>
      <c r="E47" s="20">
        <f t="shared" si="3"/>
        <v>11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8">
        <v>5.0</v>
      </c>
      <c r="D48" s="19" t="s">
        <v>36</v>
      </c>
      <c r="E48" s="20">
        <f t="shared" si="3"/>
        <v>12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9.0" customHeight="1">
      <c r="A49" s="1"/>
      <c r="B49" s="1"/>
      <c r="C49" s="21"/>
      <c r="D49" s="2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9.0" customHeight="1">
      <c r="A50" s="1"/>
      <c r="B50" s="1"/>
      <c r="C50" s="2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3.0" customHeight="1">
      <c r="A51" s="1"/>
      <c r="B51" s="1"/>
      <c r="C51" s="16">
        <f>SUM(C53:C57)</f>
        <v>25</v>
      </c>
      <c r="D51" s="17" t="s">
        <v>6</v>
      </c>
      <c r="E51" s="17" t="s">
        <v>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9.0" customHeight="1">
      <c r="A52" s="1"/>
      <c r="B52" s="1"/>
      <c r="C52" s="12"/>
      <c r="D52" s="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8">
        <v>5.0</v>
      </c>
      <c r="D53" s="19" t="s">
        <v>37</v>
      </c>
      <c r="E53" s="20">
        <v>1.0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8">
        <v>5.0</v>
      </c>
      <c r="D54" s="19" t="s">
        <v>38</v>
      </c>
      <c r="E54" s="20">
        <f t="shared" ref="E54:E57" si="4">E53+1</f>
        <v>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8">
        <v>5.0</v>
      </c>
      <c r="D55" s="19" t="s">
        <v>39</v>
      </c>
      <c r="E55" s="20">
        <f t="shared" si="4"/>
        <v>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8">
        <v>5.0</v>
      </c>
      <c r="D56" s="19" t="s">
        <v>40</v>
      </c>
      <c r="E56" s="20">
        <f t="shared" si="4"/>
        <v>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8">
        <v>5.0</v>
      </c>
      <c r="D57" s="19" t="s">
        <v>41</v>
      </c>
      <c r="E57" s="20">
        <f t="shared" si="4"/>
        <v>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.0" customHeight="1">
      <c r="A58" s="1"/>
      <c r="B58" s="1"/>
      <c r="C58" s="21"/>
      <c r="D58" s="2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9.0" customHeight="1">
      <c r="A59" s="1"/>
      <c r="B59" s="1"/>
      <c r="C59" s="2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3.0" customHeight="1">
      <c r="A60" s="1"/>
      <c r="B60" s="1"/>
      <c r="C60" s="16">
        <f>SUM(C62:C66)</f>
        <v>25</v>
      </c>
      <c r="D60" s="17" t="s">
        <v>7</v>
      </c>
      <c r="E60" s="17" t="s">
        <v>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9.0" customHeight="1">
      <c r="A61" s="1"/>
      <c r="B61" s="1"/>
      <c r="C61" s="12"/>
      <c r="D61" s="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8">
        <v>5.0</v>
      </c>
      <c r="D62" s="19" t="s">
        <v>42</v>
      </c>
      <c r="E62" s="20">
        <v>1.0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8">
        <v>5.0</v>
      </c>
      <c r="D63" s="19" t="s">
        <v>43</v>
      </c>
      <c r="E63" s="20">
        <f t="shared" ref="E63:E66" si="5">E62+1</f>
        <v>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8">
        <v>5.0</v>
      </c>
      <c r="D64" s="19" t="s">
        <v>44</v>
      </c>
      <c r="E64" s="20">
        <f t="shared" si="5"/>
        <v>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8">
        <v>5.0</v>
      </c>
      <c r="D65" s="19" t="s">
        <v>45</v>
      </c>
      <c r="E65" s="20">
        <f t="shared" si="5"/>
        <v>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8">
        <v>5.0</v>
      </c>
      <c r="D66" s="19" t="s">
        <v>46</v>
      </c>
      <c r="E66" s="20">
        <f t="shared" si="5"/>
        <v>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0" customHeight="1">
      <c r="A67" s="1"/>
      <c r="B67" s="1"/>
      <c r="C67" s="21"/>
      <c r="D67" s="2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9.0" customHeight="1">
      <c r="A68" s="1"/>
      <c r="B68" s="1"/>
      <c r="C68" s="2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3.0" customHeight="1">
      <c r="A69" s="1"/>
      <c r="B69" s="1"/>
      <c r="C69" s="16">
        <f>SUM(C71:C79)</f>
        <v>45</v>
      </c>
      <c r="D69" s="17" t="s">
        <v>8</v>
      </c>
      <c r="E69" s="17" t="s">
        <v>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9.0" customHeight="1">
      <c r="A70" s="1"/>
      <c r="B70" s="1"/>
      <c r="C70" s="12"/>
      <c r="D70" s="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8">
        <v>5.0</v>
      </c>
      <c r="D71" s="19" t="s">
        <v>47</v>
      </c>
      <c r="E71" s="20">
        <v>1.0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8">
        <v>5.0</v>
      </c>
      <c r="D72" s="19" t="s">
        <v>48</v>
      </c>
      <c r="E72" s="20">
        <f t="shared" ref="E72:E79" si="6">E71+1</f>
        <v>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8">
        <v>5.0</v>
      </c>
      <c r="D73" s="19" t="s">
        <v>49</v>
      </c>
      <c r="E73" s="20">
        <f t="shared" si="6"/>
        <v>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8">
        <v>5.0</v>
      </c>
      <c r="D74" s="19" t="s">
        <v>50</v>
      </c>
      <c r="E74" s="20">
        <f t="shared" si="6"/>
        <v>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8">
        <v>5.0</v>
      </c>
      <c r="D75" s="19" t="s">
        <v>51</v>
      </c>
      <c r="E75" s="20">
        <f t="shared" si="6"/>
        <v>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8">
        <v>5.0</v>
      </c>
      <c r="D76" s="19" t="s">
        <v>52</v>
      </c>
      <c r="E76" s="20">
        <f t="shared" si="6"/>
        <v>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8">
        <v>5.0</v>
      </c>
      <c r="D77" s="19" t="s">
        <v>53</v>
      </c>
      <c r="E77" s="20">
        <f t="shared" si="6"/>
        <v>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8">
        <v>5.0</v>
      </c>
      <c r="D78" s="19" t="s">
        <v>54</v>
      </c>
      <c r="E78" s="20">
        <f t="shared" si="6"/>
        <v>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8">
        <v>5.0</v>
      </c>
      <c r="D79" s="19" t="s">
        <v>46</v>
      </c>
      <c r="E79" s="20">
        <f t="shared" si="6"/>
        <v>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9.0" customHeight="1">
      <c r="A80" s="1"/>
      <c r="B80" s="1"/>
      <c r="C80" s="21"/>
      <c r="D80" s="2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9.0" customHeight="1">
      <c r="A81" s="1"/>
      <c r="B81" s="1"/>
      <c r="C81" s="2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3.0" customHeight="1">
      <c r="A82" s="1"/>
      <c r="B82" s="1"/>
      <c r="C82" s="16">
        <f>SUM(C84:C89)</f>
        <v>30</v>
      </c>
      <c r="D82" s="17" t="s">
        <v>9</v>
      </c>
      <c r="E82" s="17" t="s">
        <v>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9.0" customHeight="1">
      <c r="A83" s="1"/>
      <c r="B83" s="1"/>
      <c r="C83" s="12"/>
      <c r="D83" s="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8">
        <v>5.0</v>
      </c>
      <c r="D84" s="19" t="s">
        <v>55</v>
      </c>
      <c r="E84" s="20">
        <v>1.0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8">
        <v>5.0</v>
      </c>
      <c r="D85" s="19" t="s">
        <v>56</v>
      </c>
      <c r="E85" s="20">
        <f t="shared" ref="E85:E89" si="7">E84+1</f>
        <v>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8">
        <v>5.0</v>
      </c>
      <c r="D86" s="19" t="s">
        <v>57</v>
      </c>
      <c r="E86" s="20">
        <f t="shared" si="7"/>
        <v>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8">
        <v>5.0</v>
      </c>
      <c r="D87" s="19" t="s">
        <v>58</v>
      </c>
      <c r="E87" s="20">
        <f t="shared" si="7"/>
        <v>4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8">
        <v>5.0</v>
      </c>
      <c r="D88" s="19" t="s">
        <v>59</v>
      </c>
      <c r="E88" s="20">
        <f t="shared" si="7"/>
        <v>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8">
        <v>5.0</v>
      </c>
      <c r="D89" s="19" t="s">
        <v>60</v>
      </c>
      <c r="E89" s="20">
        <f t="shared" si="7"/>
        <v>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9.0" customHeight="1">
      <c r="A90" s="1"/>
      <c r="B90" s="1"/>
      <c r="C90" s="21"/>
      <c r="D90" s="2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9.0" customHeight="1">
      <c r="A91" s="1"/>
      <c r="B91" s="1"/>
      <c r="C91" s="2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3.0" customHeight="1">
      <c r="A92" s="1"/>
      <c r="B92" s="1"/>
      <c r="C92" s="16">
        <f>SUM(C94:C97)</f>
        <v>20</v>
      </c>
      <c r="D92" s="17" t="s">
        <v>10</v>
      </c>
      <c r="E92" s="17" t="s">
        <v>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0" customHeight="1">
      <c r="A93" s="1"/>
      <c r="B93" s="1"/>
      <c r="C93" s="12"/>
      <c r="D93" s="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8">
        <v>5.0</v>
      </c>
      <c r="D94" s="19" t="s">
        <v>61</v>
      </c>
      <c r="E94" s="20">
        <v>1.0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8">
        <v>5.0</v>
      </c>
      <c r="D95" s="19" t="s">
        <v>62</v>
      </c>
      <c r="E95" s="20">
        <f t="shared" ref="E95:E97" si="8">E94+1</f>
        <v>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8">
        <v>5.0</v>
      </c>
      <c r="D96" s="19" t="s">
        <v>63</v>
      </c>
      <c r="E96" s="20">
        <f t="shared" si="8"/>
        <v>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8">
        <v>5.0</v>
      </c>
      <c r="D97" s="19" t="s">
        <v>64</v>
      </c>
      <c r="E97" s="20">
        <f t="shared" si="8"/>
        <v>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9.0" customHeight="1">
      <c r="A98" s="1"/>
      <c r="B98" s="1"/>
      <c r="C98" s="21"/>
      <c r="D98" s="2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9.0" customHeight="1">
      <c r="A99" s="1"/>
      <c r="B99" s="1"/>
      <c r="C99" s="2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3.0" customHeight="1">
      <c r="A100" s="1"/>
      <c r="B100" s="1"/>
      <c r="C100" s="16">
        <f>SUM(C102:C106)</f>
        <v>25</v>
      </c>
      <c r="D100" s="17" t="s">
        <v>11</v>
      </c>
      <c r="E100" s="17" t="s">
        <v>3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9.0" customHeight="1">
      <c r="A101" s="1"/>
      <c r="B101" s="1"/>
      <c r="C101" s="12"/>
      <c r="D101" s="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8">
        <v>5.0</v>
      </c>
      <c r="D102" s="19" t="s">
        <v>65</v>
      </c>
      <c r="E102" s="20">
        <v>1.0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8">
        <v>5.0</v>
      </c>
      <c r="D103" s="19" t="s">
        <v>66</v>
      </c>
      <c r="E103" s="20">
        <f t="shared" ref="E103:E106" si="9">E102+1</f>
        <v>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8">
        <v>5.0</v>
      </c>
      <c r="D104" s="19" t="s">
        <v>67</v>
      </c>
      <c r="E104" s="20">
        <f t="shared" si="9"/>
        <v>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8">
        <v>5.0</v>
      </c>
      <c r="D105" s="19" t="s">
        <v>68</v>
      </c>
      <c r="E105" s="20">
        <f t="shared" si="9"/>
        <v>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8">
        <v>5.0</v>
      </c>
      <c r="D106" s="19" t="s">
        <v>69</v>
      </c>
      <c r="E106" s="20">
        <f t="shared" si="9"/>
        <v>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9.0" customHeight="1">
      <c r="A107" s="1"/>
      <c r="B107" s="1"/>
      <c r="C107" s="21"/>
      <c r="D107" s="2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9.0" customHeight="1">
      <c r="A108" s="1"/>
      <c r="B108" s="1"/>
      <c r="C108" s="2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3.0" customHeight="1">
      <c r="A109" s="1"/>
      <c r="B109" s="1"/>
      <c r="C109" s="16">
        <f>SUM(C111:C115)</f>
        <v>25</v>
      </c>
      <c r="D109" s="23" t="s">
        <v>12</v>
      </c>
      <c r="E109" s="17" t="s">
        <v>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9.0" customHeight="1">
      <c r="A110" s="1"/>
      <c r="B110" s="1"/>
      <c r="C110" s="12"/>
      <c r="D110" s="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8">
        <v>5.0</v>
      </c>
      <c r="D111" s="19" t="s">
        <v>70</v>
      </c>
      <c r="E111" s="20">
        <v>1.0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8">
        <v>5.0</v>
      </c>
      <c r="D112" s="19" t="s">
        <v>71</v>
      </c>
      <c r="E112" s="20">
        <f t="shared" ref="E112:E115" si="10">E111+1</f>
        <v>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8">
        <v>5.0</v>
      </c>
      <c r="D113" s="19" t="s">
        <v>72</v>
      </c>
      <c r="E113" s="20">
        <f t="shared" si="10"/>
        <v>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8">
        <v>5.0</v>
      </c>
      <c r="D114" s="24" t="s">
        <v>73</v>
      </c>
      <c r="E114" s="20">
        <f t="shared" si="10"/>
        <v>4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8">
        <v>5.0</v>
      </c>
      <c r="D115" s="19" t="s">
        <v>46</v>
      </c>
      <c r="E115" s="20">
        <f t="shared" si="10"/>
        <v>5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9.0" customHeight="1">
      <c r="A116" s="1"/>
      <c r="B116" s="1"/>
      <c r="C116" s="21"/>
      <c r="D116" s="2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9.0" customHeight="1">
      <c r="A117" s="1"/>
      <c r="B117" s="1"/>
      <c r="C117" s="2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3.0" customHeight="1">
      <c r="A118" s="1"/>
      <c r="B118" s="1"/>
      <c r="C118" s="16">
        <f>SUM(C120:C122)</f>
        <v>15</v>
      </c>
      <c r="D118" s="23" t="s">
        <v>13</v>
      </c>
      <c r="E118" s="17" t="s">
        <v>3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0" customHeight="1">
      <c r="A119" s="1"/>
      <c r="B119" s="1"/>
      <c r="C119" s="12"/>
      <c r="D119" s="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8">
        <v>5.0</v>
      </c>
      <c r="D120" s="19" t="s">
        <v>74</v>
      </c>
      <c r="E120" s="20">
        <v>1.0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8">
        <v>5.0</v>
      </c>
      <c r="D121" s="19" t="s">
        <v>75</v>
      </c>
      <c r="E121" s="20">
        <f t="shared" ref="E121:E122" si="11">E120+1</f>
        <v>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8">
        <v>5.0</v>
      </c>
      <c r="D122" s="19" t="s">
        <v>46</v>
      </c>
      <c r="E122" s="20">
        <f t="shared" si="11"/>
        <v>3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0" customHeight="1">
      <c r="A123" s="1"/>
      <c r="B123" s="1"/>
      <c r="C123" s="21"/>
      <c r="D123" s="2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9.0" customHeight="1">
      <c r="A124" s="1"/>
      <c r="B124" s="1"/>
      <c r="C124" s="2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3.0" customHeight="1">
      <c r="A125" s="1"/>
      <c r="B125" s="1"/>
      <c r="C125" s="16">
        <f>SUM(C127:C129)</f>
        <v>15</v>
      </c>
      <c r="D125" s="17" t="s">
        <v>14</v>
      </c>
      <c r="E125" s="17" t="s">
        <v>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0" customHeight="1">
      <c r="A126" s="1"/>
      <c r="B126" s="1"/>
      <c r="C126" s="12"/>
      <c r="D126" s="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8">
        <v>5.0</v>
      </c>
      <c r="D127" s="19" t="s">
        <v>76</v>
      </c>
      <c r="E127" s="20">
        <v>1.0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8">
        <v>5.0</v>
      </c>
      <c r="D128" s="19" t="s">
        <v>75</v>
      </c>
      <c r="E128" s="20">
        <f t="shared" ref="E128:E129" si="12">E127+1</f>
        <v>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8">
        <v>5.0</v>
      </c>
      <c r="D129" s="19" t="s">
        <v>46</v>
      </c>
      <c r="E129" s="20">
        <f t="shared" si="12"/>
        <v>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0" customHeight="1">
      <c r="A130" s="1"/>
      <c r="B130" s="1"/>
      <c r="C130" s="21"/>
      <c r="D130" s="2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0" customHeight="1">
      <c r="A131" s="1"/>
      <c r="B131" s="1"/>
      <c r="C131" s="2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3.0" customHeight="1">
      <c r="A132" s="1"/>
      <c r="B132" s="1"/>
      <c r="C132" s="16">
        <f>SUM(C134:C138)</f>
        <v>25</v>
      </c>
      <c r="D132" s="17" t="s">
        <v>15</v>
      </c>
      <c r="E132" s="17" t="s">
        <v>3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0" customHeight="1">
      <c r="A133" s="1"/>
      <c r="B133" s="1"/>
      <c r="C133" s="12"/>
      <c r="D133" s="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8">
        <v>5.0</v>
      </c>
      <c r="D134" s="19" t="s">
        <v>77</v>
      </c>
      <c r="E134" s="20">
        <v>1.0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8">
        <v>5.0</v>
      </c>
      <c r="D135" s="19" t="s">
        <v>78</v>
      </c>
      <c r="E135" s="20">
        <f t="shared" ref="E135:E138" si="13">E134+1</f>
        <v>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8">
        <v>5.0</v>
      </c>
      <c r="D136" s="19" t="s">
        <v>79</v>
      </c>
      <c r="E136" s="20">
        <f t="shared" si="13"/>
        <v>3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8">
        <v>5.0</v>
      </c>
      <c r="D137" s="19" t="s">
        <v>80</v>
      </c>
      <c r="E137" s="20">
        <f t="shared" si="13"/>
        <v>4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8">
        <v>5.0</v>
      </c>
      <c r="D138" s="19" t="s">
        <v>81</v>
      </c>
      <c r="E138" s="20">
        <f t="shared" si="13"/>
        <v>5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0" customHeight="1">
      <c r="A139" s="1"/>
      <c r="B139" s="1"/>
      <c r="C139" s="21"/>
      <c r="D139" s="2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0" customHeight="1">
      <c r="A140" s="1"/>
      <c r="B140" s="1"/>
      <c r="C140" s="2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3.0" customHeight="1">
      <c r="A141" s="1"/>
      <c r="B141" s="1"/>
      <c r="C141" s="16">
        <f>SUM(C143:C146)</f>
        <v>20</v>
      </c>
      <c r="D141" s="23" t="s">
        <v>16</v>
      </c>
      <c r="E141" s="17" t="s">
        <v>3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0" customHeight="1">
      <c r="A142" s="1"/>
      <c r="B142" s="1"/>
      <c r="C142" s="12"/>
      <c r="D142" s="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8">
        <v>5.0</v>
      </c>
      <c r="D143" s="19" t="s">
        <v>82</v>
      </c>
      <c r="E143" s="20">
        <v>1.0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8">
        <v>5.0</v>
      </c>
      <c r="D144" s="19" t="s">
        <v>83</v>
      </c>
      <c r="E144" s="20">
        <f t="shared" ref="E144:E146" si="14">E143+1</f>
        <v>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8">
        <v>5.0</v>
      </c>
      <c r="D145" s="19" t="s">
        <v>84</v>
      </c>
      <c r="E145" s="20">
        <f t="shared" si="14"/>
        <v>3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8">
        <v>5.0</v>
      </c>
      <c r="D146" s="19" t="s">
        <v>85</v>
      </c>
      <c r="E146" s="20">
        <f t="shared" si="14"/>
        <v>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0" customHeight="1">
      <c r="A147" s="1"/>
      <c r="B147" s="1"/>
      <c r="C147" s="21"/>
      <c r="D147" s="2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0" customHeight="1">
      <c r="A148" s="1"/>
      <c r="B148" s="1"/>
      <c r="C148" s="21"/>
      <c r="D148" s="2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6">
        <f>SUM(C151:C152)</f>
        <v>10</v>
      </c>
      <c r="D149" s="23" t="s">
        <v>86</v>
      </c>
      <c r="E149" s="17" t="s">
        <v>3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0" customHeight="1">
      <c r="A150" s="1"/>
      <c r="B150" s="1"/>
      <c r="C150" s="12"/>
      <c r="D150" s="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8">
        <v>5.0</v>
      </c>
      <c r="D151" s="25"/>
      <c r="E151" s="20">
        <v>1.0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8">
        <v>5.0</v>
      </c>
      <c r="D152" s="25"/>
      <c r="E152" s="20">
        <f>E151+1</f>
        <v>2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0" customHeight="1">
      <c r="A153" s="1"/>
      <c r="B153" s="1"/>
      <c r="C153" s="21"/>
      <c r="D153" s="2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0" customHeight="1">
      <c r="A154" s="1"/>
      <c r="B154" s="1"/>
      <c r="C154" s="2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6">
        <f>SUM(C157:C158)</f>
        <v>10</v>
      </c>
      <c r="D155" s="23" t="s">
        <v>87</v>
      </c>
      <c r="E155" s="17" t="s">
        <v>3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0" customHeight="1">
      <c r="A156" s="1"/>
      <c r="B156" s="1"/>
      <c r="C156" s="12"/>
      <c r="D156" s="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8">
        <v>5.0</v>
      </c>
      <c r="D157" s="25"/>
      <c r="E157" s="20">
        <v>1.0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8">
        <v>5.0</v>
      </c>
      <c r="D158" s="25"/>
      <c r="E158" s="20">
        <f>E157+1</f>
        <v>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0" customHeight="1">
      <c r="A159" s="1"/>
      <c r="B159" s="1"/>
      <c r="C159" s="21"/>
      <c r="D159" s="2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3:E3"/>
    <mergeCell ref="D22:E22"/>
  </mergeCells>
  <hyperlinks>
    <hyperlink display=" تجنید" location="Sheet1!E25" ref="D7"/>
    <hyperlink display="عمومی" location="Sheet1!E33" ref="D8"/>
    <hyperlink display="تعلیم" location="Sheet1!E48" ref="D9"/>
    <hyperlink display="تعلیم ۔۔۔۔ وقف عارضی" location="Sheet1!E57" ref="D10"/>
    <hyperlink display="تربیت" location="Sheet1!E66" ref="D11"/>
    <hyperlink display="اصلاح و ارشاد" location="Sheet1!E78" ref="D12"/>
    <hyperlink display="ایثار" location="Sheet1!E87" ref="D13"/>
    <hyperlink display="ذہانت و صحت جسمانی" location="Sheet1!E94" ref="D14"/>
    <hyperlink display="صف دوم" location="Sheet1!E104" ref="D15"/>
    <hyperlink display="تحریک جدید" location="Sheet1!E113" ref="D16"/>
    <hyperlink display="وقف  جدید" location="Sheet1!E118" ref="D17"/>
    <hyperlink display="مال" location="Sheet1!E123" ref="D18"/>
    <hyperlink display="آڈٹ" location="Sheet1!E131" ref="D19"/>
  </hyperlinks>
  <printOptions horizontalCentered="1"/>
  <pageMargins bottom="0.25" footer="0.0" header="0.0" left="0.0" right="0.0" top="0.6"/>
  <pageSetup paperSize="9" orientation="portrait"/>
  <headerFooter>
    <oddFooter/>
  </headerFooter>
  <rowBreaks count="4" manualBreakCount="4">
    <brk id="80" man="1"/>
    <brk id="49" man="1"/>
    <brk id="116" man="1"/>
    <brk id="2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