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<sst xmlns="http://schemas.openxmlformats.org/spreadsheetml/2006/main" count="93" uniqueCount="56">
  <si>
    <t>پیشہ</t>
  </si>
  <si>
    <t>وصیت نمبر</t>
  </si>
  <si>
    <t>سن بیعت</t>
  </si>
  <si>
    <t>سن پیدائش</t>
  </si>
  <si>
    <t>ولدیت</t>
  </si>
  <si>
    <t>صف اول یا صف دوم</t>
  </si>
  <si>
    <t>نام رکن</t>
  </si>
  <si>
    <t>تجنید نمبر</t>
  </si>
  <si>
    <t>نمبر شمار</t>
  </si>
  <si>
    <t>current date</t>
  </si>
  <si>
    <t>Current Age</t>
  </si>
  <si>
    <t>Age in Years</t>
  </si>
  <si>
    <t>مربی سلسلہ</t>
  </si>
  <si>
    <t>000034769</t>
  </si>
  <si>
    <t>عبدالقیوم صاحب</t>
  </si>
  <si>
    <t>صف دوم</t>
  </si>
  <si>
    <t>امان اللہ صاحب</t>
  </si>
  <si>
    <t>ملازمت</t>
  </si>
  <si>
    <t>پیدائشی احمدی</t>
  </si>
  <si>
    <t>ملک عبدالعزیز صاحب</t>
  </si>
  <si>
    <t>ارسلان عزیز صاحب</t>
  </si>
  <si>
    <t>مبارک احمد صاحب</t>
  </si>
  <si>
    <t>توصیف احمد صاحب</t>
  </si>
  <si>
    <t>رفیق احمد صالح صاحب</t>
  </si>
  <si>
    <t>ثمر مہدی صاحب</t>
  </si>
  <si>
    <t>000054181</t>
  </si>
  <si>
    <t>حفیظ احمد منصور صاحب</t>
  </si>
  <si>
    <t>رفیق احمد وڑایچ صاحب</t>
  </si>
  <si>
    <t>کاروبار</t>
  </si>
  <si>
    <t>000078841</t>
  </si>
  <si>
    <t>بشیر احمد صاحب</t>
  </si>
  <si>
    <t>زاہد تنویر صاحب</t>
  </si>
  <si>
    <t>عبدالحی صاحب</t>
  </si>
  <si>
    <t>عبدالقیوم قریشی صاحب</t>
  </si>
  <si>
    <t>محمد صادق ظفر صاحب</t>
  </si>
  <si>
    <t>محمد احسن ظفر صاحب</t>
  </si>
  <si>
    <t>ریٹاریڈ آفیسر</t>
  </si>
  <si>
    <t>عبداواحد ورک صاحب</t>
  </si>
  <si>
    <t>ناصر احمد ورک صاحب</t>
  </si>
  <si>
    <t>000127842</t>
  </si>
  <si>
    <t>اعجاز احمد صاحب</t>
  </si>
  <si>
    <t>حبیب احمد صاحب</t>
  </si>
  <si>
    <t>ڈاکٹر نشاط احمد صاحب</t>
  </si>
  <si>
    <t>حفاظت عمران صاحب</t>
  </si>
  <si>
    <t>000045886</t>
  </si>
  <si>
    <t>چوہدری ظفراحمد صاحب</t>
  </si>
  <si>
    <t>نصراللہ حشام صاحب</t>
  </si>
  <si>
    <t>000140743</t>
  </si>
  <si>
    <t>منور احمد ملك صاحب</t>
  </si>
  <si>
    <t>ناصر محمود صاحب</t>
  </si>
  <si>
    <t>قمر الاسلام صاحب</t>
  </si>
  <si>
    <t>فیصل قمر صاحب</t>
  </si>
  <si>
    <t>وکالت</t>
  </si>
  <si>
    <t>000119790</t>
  </si>
  <si>
    <t>قاضی نزرمحمد صاحب</t>
  </si>
  <si>
    <t>ملک احمد رضوان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</si>
</sst>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[$-409]d\-mmm\-yy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&quot;microsoft uighur&quot;"/>
    </font>
    <font>
      <color theme="1"/>
      <name val="Arial"/>
    </font>
    <font>
      <sz val="14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2" fillId="0" fontId="2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3" fillId="0" fontId="2" numFmtId="164" xfId="0" applyAlignment="1" applyBorder="1" applyFont="1" applyNumberFormat="1">
      <alignment vertical="bottom"/>
    </xf>
    <xf borderId="0" fillId="0" fontId="2" numFmtId="2" xfId="0" applyAlignment="1" applyFont="1" applyNumberFormat="1">
      <alignment shrinkToFit="0" vertical="bottom" wrapText="0"/>
    </xf>
    <xf borderId="3" fillId="2" fontId="4" numFmtId="0" xfId="0" applyAlignment="1" applyBorder="1" applyFill="1" applyFont="1">
      <alignment horizontal="center" vertical="bottom"/>
    </xf>
    <xf quotePrefix="1" borderId="3" fillId="2" fontId="4" numFmtId="164" xfId="0" applyAlignment="1" applyBorder="1" applyFont="1" applyNumberFormat="1">
      <alignment horizontal="center" vertical="bottom"/>
    </xf>
    <xf borderId="3" fillId="2" fontId="4" numFmtId="165" xfId="0" applyAlignment="1" applyBorder="1" applyFont="1" applyNumberFormat="1">
      <alignment horizontal="center" vertical="bottom"/>
    </xf>
    <xf borderId="3" fillId="2" fontId="4" numFmtId="0" xfId="0" applyAlignment="1" applyBorder="1" applyFont="1">
      <alignment horizontal="right" vertical="bottom"/>
    </xf>
    <xf borderId="3" fillId="0" fontId="4" numFmtId="165" xfId="0" applyAlignment="1" applyBorder="1" applyFont="1" applyNumberFormat="1">
      <alignment horizontal="center" readingOrder="0" vertical="bottom"/>
    </xf>
    <xf borderId="3" fillId="0" fontId="2" numFmtId="164" xfId="0" applyAlignment="1" applyBorder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3" fillId="2" fontId="4" numFmtId="164" xfId="0" applyAlignment="1" applyBorder="1" applyFont="1" applyNumberFormat="1">
      <alignment horizontal="center" vertical="bottom"/>
    </xf>
    <xf quotePrefix="1" borderId="3" fillId="2" fontId="4" numFmtId="0" xfId="0" applyAlignment="1" applyBorder="1" applyFont="1">
      <alignment vertical="bottom"/>
    </xf>
    <xf quotePrefix="1" borderId="3" fillId="2" fontId="4" numFmtId="0" xfId="0" applyAlignment="1" applyBorder="1" applyFont="1">
      <alignment horizontal="center" vertical="bottom"/>
    </xf>
    <xf borderId="3" fillId="2" fontId="3" numFmtId="164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5" max="5" width="20.63"/>
    <col customWidth="1" min="6" max="6" width="16.88"/>
    <col customWidth="1" min="7" max="7" width="19.25"/>
    <col customWidth="1" min="8" max="8" width="10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/>
      <c r="L1" s="7" t="s">
        <v>10</v>
      </c>
      <c r="M1" s="8" t="s">
        <v>11</v>
      </c>
      <c r="N1" s="6"/>
      <c r="O1" s="6"/>
      <c r="P1" s="6"/>
      <c r="Q1" s="6"/>
      <c r="R1" s="6"/>
    </row>
    <row r="2">
      <c r="A2" s="9" t="s">
        <v>12</v>
      </c>
      <c r="B2" s="10" t="s">
        <v>13</v>
      </c>
      <c r="C2" s="9">
        <v>1994.0</v>
      </c>
      <c r="D2" s="11">
        <v>29758.0</v>
      </c>
      <c r="E2" s="12" t="s">
        <v>14</v>
      </c>
      <c r="F2" s="9" t="s">
        <v>15</v>
      </c>
      <c r="G2" s="12" t="s">
        <v>16</v>
      </c>
      <c r="H2" s="9">
        <v>85855.0</v>
      </c>
      <c r="I2" s="9">
        <v>1.0</v>
      </c>
      <c r="J2" s="13">
        <v>45398.0</v>
      </c>
      <c r="K2" s="6"/>
      <c r="L2" s="14">
        <f t="shared" ref="L2:L16" si="1">(J2-D2)/365</f>
        <v>42.84931507</v>
      </c>
      <c r="M2" s="15">
        <f t="shared" ref="M2:M16" si="2">(TODAY()-D2)/365</f>
        <v>45.09863014</v>
      </c>
      <c r="N2" s="6"/>
      <c r="O2" s="6"/>
      <c r="P2" s="6"/>
      <c r="Q2" s="6"/>
      <c r="R2" s="6"/>
    </row>
    <row r="3">
      <c r="A3" s="9" t="s">
        <v>17</v>
      </c>
      <c r="B3" s="16">
        <v>0.0</v>
      </c>
      <c r="C3" s="9" t="s">
        <v>18</v>
      </c>
      <c r="D3" s="11">
        <v>29102.0</v>
      </c>
      <c r="E3" s="12" t="s">
        <v>19</v>
      </c>
      <c r="F3" s="9" t="s">
        <v>15</v>
      </c>
      <c r="G3" s="12" t="s">
        <v>20</v>
      </c>
      <c r="H3" s="9">
        <v>697263.0</v>
      </c>
      <c r="I3" s="9" t="str">
        <f t="shared" ref="I3:I4" si="3">#REF!+1</f>
        <v>#REF!</v>
      </c>
      <c r="J3" s="13">
        <v>45398.0</v>
      </c>
      <c r="K3" s="6"/>
      <c r="L3" s="14">
        <f t="shared" si="1"/>
        <v>44.64657534</v>
      </c>
      <c r="M3" s="15">
        <f t="shared" si="2"/>
        <v>46.89589041</v>
      </c>
      <c r="N3" s="6"/>
      <c r="O3" s="6"/>
      <c r="P3" s="6"/>
      <c r="Q3" s="6"/>
      <c r="R3" s="6"/>
    </row>
    <row r="4">
      <c r="A4" s="9" t="s">
        <v>17</v>
      </c>
      <c r="B4" s="16">
        <v>0.0</v>
      </c>
      <c r="C4" s="9" t="s">
        <v>18</v>
      </c>
      <c r="D4" s="11">
        <v>26511.0</v>
      </c>
      <c r="E4" s="12" t="s">
        <v>21</v>
      </c>
      <c r="F4" s="9" t="s">
        <v>15</v>
      </c>
      <c r="G4" s="12" t="s">
        <v>22</v>
      </c>
      <c r="H4" s="9">
        <v>629409.0</v>
      </c>
      <c r="I4" s="9" t="str">
        <f t="shared" si="3"/>
        <v>#REF!</v>
      </c>
      <c r="J4" s="13">
        <v>45398.0</v>
      </c>
      <c r="K4" s="6"/>
      <c r="L4" s="14">
        <f t="shared" si="1"/>
        <v>51.74520548</v>
      </c>
      <c r="M4" s="15">
        <f t="shared" si="2"/>
        <v>53.99452055</v>
      </c>
      <c r="N4" s="6"/>
      <c r="O4" s="6"/>
      <c r="P4" s="6"/>
      <c r="Q4" s="6"/>
      <c r="R4" s="6"/>
    </row>
    <row r="5">
      <c r="A5" s="9" t="s">
        <v>17</v>
      </c>
      <c r="B5" s="16">
        <v>0.0</v>
      </c>
      <c r="C5" s="9" t="s">
        <v>18</v>
      </c>
      <c r="D5" s="11">
        <v>27595.0</v>
      </c>
      <c r="E5" s="12" t="s">
        <v>23</v>
      </c>
      <c r="F5" s="9" t="s">
        <v>15</v>
      </c>
      <c r="G5" s="12" t="s">
        <v>24</v>
      </c>
      <c r="H5" s="9">
        <v>691771.0</v>
      </c>
      <c r="I5" s="9" t="str">
        <f>I4+1</f>
        <v>#REF!</v>
      </c>
      <c r="J5" s="13">
        <v>45398.0</v>
      </c>
      <c r="K5" s="6"/>
      <c r="L5" s="14">
        <f t="shared" si="1"/>
        <v>48.77534247</v>
      </c>
      <c r="M5" s="15">
        <f t="shared" si="2"/>
        <v>51.02465753</v>
      </c>
      <c r="N5" s="6"/>
      <c r="O5" s="6"/>
      <c r="P5" s="6"/>
      <c r="Q5" s="6"/>
      <c r="R5" s="6"/>
    </row>
    <row r="6">
      <c r="A6" s="9" t="s">
        <v>17</v>
      </c>
      <c r="B6" s="17" t="s">
        <v>25</v>
      </c>
      <c r="C6" s="9" t="s">
        <v>18</v>
      </c>
      <c r="D6" s="11">
        <v>26988.0</v>
      </c>
      <c r="E6" s="12" t="s">
        <v>26</v>
      </c>
      <c r="F6" s="9" t="s">
        <v>15</v>
      </c>
      <c r="G6" s="12" t="s">
        <v>27</v>
      </c>
      <c r="H6" s="9">
        <v>629430.0</v>
      </c>
      <c r="I6" s="9" t="str">
        <f>#REF!+1</f>
        <v>#REF!</v>
      </c>
      <c r="J6" s="13">
        <v>45398.0</v>
      </c>
      <c r="K6" s="6"/>
      <c r="L6" s="14">
        <f t="shared" si="1"/>
        <v>50.43835616</v>
      </c>
      <c r="M6" s="15">
        <f t="shared" si="2"/>
        <v>52.68767123</v>
      </c>
      <c r="N6" s="6"/>
      <c r="O6" s="6"/>
      <c r="P6" s="6"/>
      <c r="Q6" s="6"/>
      <c r="R6" s="6"/>
    </row>
    <row r="7">
      <c r="A7" s="9" t="s">
        <v>28</v>
      </c>
      <c r="B7" s="18" t="s">
        <v>29</v>
      </c>
      <c r="C7" s="9" t="s">
        <v>18</v>
      </c>
      <c r="D7" s="11">
        <v>29319.0</v>
      </c>
      <c r="E7" s="12" t="s">
        <v>30</v>
      </c>
      <c r="F7" s="9" t="s">
        <v>15</v>
      </c>
      <c r="G7" s="12" t="s">
        <v>31</v>
      </c>
      <c r="H7" s="9">
        <v>73236.0</v>
      </c>
      <c r="I7" s="9" t="str">
        <f>I6+1</f>
        <v>#REF!</v>
      </c>
      <c r="J7" s="13">
        <v>45398.0</v>
      </c>
      <c r="K7" s="6"/>
      <c r="L7" s="14">
        <f t="shared" si="1"/>
        <v>44.05205479</v>
      </c>
      <c r="M7" s="15">
        <f t="shared" si="2"/>
        <v>46.30136986</v>
      </c>
      <c r="N7" s="6"/>
      <c r="O7" s="6"/>
      <c r="P7" s="6"/>
      <c r="Q7" s="6"/>
      <c r="R7" s="6"/>
    </row>
    <row r="8">
      <c r="A8" s="9" t="s">
        <v>17</v>
      </c>
      <c r="B8" s="19"/>
      <c r="C8" s="9" t="s">
        <v>18</v>
      </c>
      <c r="D8" s="11">
        <v>29895.0</v>
      </c>
      <c r="E8" s="12" t="s">
        <v>32</v>
      </c>
      <c r="F8" s="9" t="s">
        <v>15</v>
      </c>
      <c r="G8" s="12" t="s">
        <v>33</v>
      </c>
      <c r="H8" s="9">
        <v>698781.0</v>
      </c>
      <c r="I8" s="9" t="str">
        <f t="shared" ref="I8:I10" si="4">#REF!+1</f>
        <v>#REF!</v>
      </c>
      <c r="J8" s="13">
        <v>45398.0</v>
      </c>
      <c r="K8" s="6"/>
      <c r="L8" s="14">
        <f t="shared" si="1"/>
        <v>42.4739726</v>
      </c>
      <c r="M8" s="15">
        <f t="shared" si="2"/>
        <v>44.72328767</v>
      </c>
      <c r="N8" s="6"/>
      <c r="O8" s="6"/>
      <c r="P8" s="6"/>
      <c r="Q8" s="6"/>
      <c r="R8" s="6"/>
    </row>
    <row r="9">
      <c r="A9" s="9" t="s">
        <v>17</v>
      </c>
      <c r="B9" s="19"/>
      <c r="C9" s="9" t="s">
        <v>18</v>
      </c>
      <c r="D9" s="11">
        <v>27784.0</v>
      </c>
      <c r="E9" s="12" t="s">
        <v>34</v>
      </c>
      <c r="F9" s="9" t="s">
        <v>15</v>
      </c>
      <c r="G9" s="12" t="s">
        <v>35</v>
      </c>
      <c r="H9" s="9">
        <v>697262.0</v>
      </c>
      <c r="I9" s="9" t="str">
        <f t="shared" si="4"/>
        <v>#REF!</v>
      </c>
      <c r="J9" s="13">
        <v>45398.0</v>
      </c>
      <c r="K9" s="6"/>
      <c r="L9" s="14">
        <f t="shared" si="1"/>
        <v>48.25753425</v>
      </c>
      <c r="M9" s="15">
        <f t="shared" si="2"/>
        <v>50.50684932</v>
      </c>
      <c r="N9" s="6"/>
      <c r="O9" s="6"/>
      <c r="P9" s="6"/>
      <c r="Q9" s="6"/>
      <c r="R9" s="6"/>
    </row>
    <row r="10">
      <c r="A10" s="9" t="s">
        <v>36</v>
      </c>
      <c r="B10" s="19"/>
      <c r="C10" s="9" t="s">
        <v>18</v>
      </c>
      <c r="D10" s="11">
        <v>27546.0</v>
      </c>
      <c r="E10" s="12" t="s">
        <v>37</v>
      </c>
      <c r="F10" s="9" t="s">
        <v>15</v>
      </c>
      <c r="G10" s="12" t="s">
        <v>38</v>
      </c>
      <c r="H10" s="9">
        <v>696346.0</v>
      </c>
      <c r="I10" s="9" t="str">
        <f t="shared" si="4"/>
        <v>#REF!</v>
      </c>
      <c r="J10" s="13">
        <v>45398.0</v>
      </c>
      <c r="K10" s="6"/>
      <c r="L10" s="14">
        <f t="shared" si="1"/>
        <v>48.90958904</v>
      </c>
      <c r="M10" s="15">
        <f t="shared" si="2"/>
        <v>51.15890411</v>
      </c>
      <c r="N10" s="6"/>
      <c r="O10" s="6"/>
      <c r="P10" s="6"/>
      <c r="Q10" s="6"/>
      <c r="R10" s="6"/>
    </row>
    <row r="11">
      <c r="A11" s="9" t="s">
        <v>28</v>
      </c>
      <c r="B11" s="18" t="s">
        <v>39</v>
      </c>
      <c r="C11" s="9" t="s">
        <v>18</v>
      </c>
      <c r="D11" s="11">
        <v>30189.0</v>
      </c>
      <c r="E11" s="12" t="s">
        <v>40</v>
      </c>
      <c r="F11" s="9" t="s">
        <v>15</v>
      </c>
      <c r="G11" s="12" t="s">
        <v>41</v>
      </c>
      <c r="H11" s="9">
        <v>699653.0</v>
      </c>
      <c r="I11" s="9" t="str">
        <f t="shared" ref="I11:I15" si="5">I10+1</f>
        <v>#REF!</v>
      </c>
      <c r="J11" s="13">
        <v>45398.0</v>
      </c>
      <c r="K11" s="6"/>
      <c r="L11" s="14">
        <f t="shared" si="1"/>
        <v>41.66849315</v>
      </c>
      <c r="M11" s="15">
        <f t="shared" si="2"/>
        <v>43.91780822</v>
      </c>
      <c r="N11" s="6"/>
      <c r="O11" s="6"/>
      <c r="P11" s="6"/>
      <c r="Q11" s="6"/>
      <c r="R11" s="6"/>
    </row>
    <row r="12">
      <c r="A12" s="9" t="s">
        <v>17</v>
      </c>
      <c r="B12" s="19"/>
      <c r="C12" s="9" t="s">
        <v>18</v>
      </c>
      <c r="D12" s="11">
        <v>26665.0</v>
      </c>
      <c r="E12" s="12" t="s">
        <v>42</v>
      </c>
      <c r="F12" s="9" t="s">
        <v>15</v>
      </c>
      <c r="G12" s="12" t="s">
        <v>43</v>
      </c>
      <c r="H12" s="9">
        <v>632609.0</v>
      </c>
      <c r="I12" s="9" t="str">
        <f t="shared" si="5"/>
        <v>#REF!</v>
      </c>
      <c r="J12" s="13">
        <v>45398.0</v>
      </c>
      <c r="K12" s="6"/>
      <c r="L12" s="14">
        <f t="shared" si="1"/>
        <v>51.32328767</v>
      </c>
      <c r="M12" s="15">
        <f t="shared" si="2"/>
        <v>53.57260274</v>
      </c>
      <c r="N12" s="6"/>
      <c r="O12" s="6"/>
      <c r="P12" s="6"/>
      <c r="Q12" s="6"/>
      <c r="R12" s="6"/>
    </row>
    <row r="13">
      <c r="A13" s="9" t="s">
        <v>17</v>
      </c>
      <c r="B13" s="18" t="s">
        <v>44</v>
      </c>
      <c r="C13" s="9" t="s">
        <v>18</v>
      </c>
      <c r="D13" s="11">
        <v>26511.0</v>
      </c>
      <c r="E13" s="12" t="s">
        <v>45</v>
      </c>
      <c r="F13" s="9" t="s">
        <v>15</v>
      </c>
      <c r="G13" s="12" t="s">
        <v>46</v>
      </c>
      <c r="H13" s="9">
        <v>626847.0</v>
      </c>
      <c r="I13" s="9" t="str">
        <f t="shared" si="5"/>
        <v>#REF!</v>
      </c>
      <c r="J13" s="13">
        <v>45398.0</v>
      </c>
      <c r="K13" s="6"/>
      <c r="L13" s="14">
        <f t="shared" si="1"/>
        <v>51.74520548</v>
      </c>
      <c r="M13" s="15">
        <f t="shared" si="2"/>
        <v>53.99452055</v>
      </c>
      <c r="N13" s="6"/>
      <c r="O13" s="6"/>
      <c r="P13" s="6"/>
      <c r="Q13" s="6"/>
      <c r="R13" s="6"/>
    </row>
    <row r="14">
      <c r="A14" s="9" t="s">
        <v>28</v>
      </c>
      <c r="B14" s="18" t="s">
        <v>47</v>
      </c>
      <c r="C14" s="9" t="s">
        <v>18</v>
      </c>
      <c r="D14" s="11">
        <v>29543.0</v>
      </c>
      <c r="E14" s="12" t="s">
        <v>48</v>
      </c>
      <c r="F14" s="9" t="s">
        <v>15</v>
      </c>
      <c r="G14" s="12" t="s">
        <v>49</v>
      </c>
      <c r="H14" s="9">
        <v>76290.0</v>
      </c>
      <c r="I14" s="9" t="str">
        <f t="shared" si="5"/>
        <v>#REF!</v>
      </c>
      <c r="J14" s="13">
        <v>45398.0</v>
      </c>
      <c r="K14" s="6"/>
      <c r="L14" s="14">
        <f t="shared" si="1"/>
        <v>43.43835616</v>
      </c>
      <c r="M14" s="15">
        <f t="shared" si="2"/>
        <v>45.68767123</v>
      </c>
      <c r="N14" s="6"/>
      <c r="O14" s="6"/>
      <c r="P14" s="6"/>
      <c r="Q14" s="6"/>
      <c r="R14" s="6"/>
    </row>
    <row r="15">
      <c r="A15" s="9" t="s">
        <v>28</v>
      </c>
      <c r="B15" s="19"/>
      <c r="C15" s="9" t="s">
        <v>18</v>
      </c>
      <c r="D15" s="11">
        <v>25571.0</v>
      </c>
      <c r="E15" s="12" t="s">
        <v>50</v>
      </c>
      <c r="F15" s="9" t="s">
        <v>15</v>
      </c>
      <c r="G15" s="12" t="s">
        <v>51</v>
      </c>
      <c r="H15" s="9">
        <v>700623.0</v>
      </c>
      <c r="I15" s="9" t="str">
        <f t="shared" si="5"/>
        <v>#REF!</v>
      </c>
      <c r="J15" s="13">
        <v>45398.0</v>
      </c>
      <c r="K15" s="6"/>
      <c r="L15" s="14">
        <f t="shared" si="1"/>
        <v>54.32054795</v>
      </c>
      <c r="M15" s="15">
        <f t="shared" si="2"/>
        <v>56.56986301</v>
      </c>
      <c r="N15" s="6"/>
      <c r="O15" s="6"/>
      <c r="P15" s="6"/>
      <c r="Q15" s="6"/>
      <c r="R15" s="6"/>
    </row>
    <row r="16">
      <c r="A16" s="9" t="s">
        <v>52</v>
      </c>
      <c r="B16" s="18" t="s">
        <v>53</v>
      </c>
      <c r="C16" s="9" t="s">
        <v>18</v>
      </c>
      <c r="D16" s="20">
        <v>28888.0</v>
      </c>
      <c r="E16" s="12" t="s">
        <v>54</v>
      </c>
      <c r="F16" s="9" t="s">
        <v>15</v>
      </c>
      <c r="G16" s="12" t="s">
        <v>55</v>
      </c>
      <c r="H16" s="9">
        <v>696463.0</v>
      </c>
      <c r="I16" s="9" t="str">
        <f>#REF!+1</f>
        <v>#REF!</v>
      </c>
      <c r="J16" s="13">
        <v>45398.0</v>
      </c>
      <c r="K16" s="6"/>
      <c r="L16" s="14">
        <f t="shared" si="1"/>
        <v>45.23287671</v>
      </c>
      <c r="M16" s="15">
        <f t="shared" si="2"/>
        <v>47.48219178</v>
      </c>
      <c r="N16" s="6"/>
      <c r="O16" s="21">
        <v>13.0</v>
      </c>
      <c r="P16" s="6"/>
      <c r="Q16" s="6"/>
      <c r="R16" s="6"/>
    </row>
  </sheetData>
  <drawing r:id="rId1"/>
</worksheet>
</file>