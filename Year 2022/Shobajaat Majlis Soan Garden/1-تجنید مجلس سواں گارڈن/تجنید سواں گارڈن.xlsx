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wanGarden\2022\"/>
    </mc:Choice>
  </mc:AlternateContent>
  <xr:revisionPtr revIDLastSave="0" documentId="13_ncr:1_{A0115477-8C95-4F7C-ADFF-BDB2A688A297}" xr6:coauthVersionLast="47" xr6:coauthVersionMax="47" xr10:uidLastSave="{00000000-0000-0000-0000-000000000000}"/>
  <bookViews>
    <workbookView xWindow="-108" yWindow="-108" windowWidth="23256" windowHeight="12576" xr2:uid="{FD7CA052-39E9-4019-88D4-459870651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4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</calcChain>
</file>

<file path=xl/sharedStrings.xml><?xml version="1.0" encoding="utf-8"?>
<sst xmlns="http://schemas.openxmlformats.org/spreadsheetml/2006/main" count="348" uniqueCount="108">
  <si>
    <t>توصیف احمد</t>
  </si>
  <si>
    <t>صف اول</t>
  </si>
  <si>
    <t>مبارک احمد</t>
  </si>
  <si>
    <t>پیدائشی احمدی</t>
  </si>
  <si>
    <t>نمبر شمار</t>
  </si>
  <si>
    <t>نام رکن</t>
  </si>
  <si>
    <t>صف اول یا صف دوم</t>
  </si>
  <si>
    <t>ولدیت</t>
  </si>
  <si>
    <t>سن پیدائش</t>
  </si>
  <si>
    <t>سن بیعت</t>
  </si>
  <si>
    <t>وصیت نمبر</t>
  </si>
  <si>
    <t>تعلیم</t>
  </si>
  <si>
    <t>نماز</t>
  </si>
  <si>
    <t>سادہ</t>
  </si>
  <si>
    <t>باترجمہ</t>
  </si>
  <si>
    <t>قرآن کریم</t>
  </si>
  <si>
    <t>پیشہ</t>
  </si>
  <si>
    <t>بلڈ گروپ</t>
  </si>
  <si>
    <t>تصویر</t>
  </si>
  <si>
    <t>نہیں</t>
  </si>
  <si>
    <t>ملازمت</t>
  </si>
  <si>
    <t>ارسلان عزیز</t>
  </si>
  <si>
    <t>ملک عبدالعزیز</t>
  </si>
  <si>
    <t>ماسٹرز</t>
  </si>
  <si>
    <t>A+</t>
  </si>
  <si>
    <t>Y</t>
  </si>
  <si>
    <t>N</t>
  </si>
  <si>
    <t>انوار بخاری</t>
  </si>
  <si>
    <t>صف دوم</t>
  </si>
  <si>
    <t>سید سردار شاہ</t>
  </si>
  <si>
    <t>بیچلر</t>
  </si>
  <si>
    <t>ریٹاریڈ آفیسر</t>
  </si>
  <si>
    <t>AB+</t>
  </si>
  <si>
    <t>ثمر مہدی</t>
  </si>
  <si>
    <t>چوہدری تنویر احمد</t>
  </si>
  <si>
    <t>چوہدری منیر احمد</t>
  </si>
  <si>
    <t>000445101</t>
  </si>
  <si>
    <t>تجنید نمبر</t>
  </si>
  <si>
    <t>چوہدری گلام احمد</t>
  </si>
  <si>
    <t>B+</t>
  </si>
  <si>
    <t>O+</t>
  </si>
  <si>
    <t>چوہدری مناضر احمد</t>
  </si>
  <si>
    <t>چوہدری محمد دین</t>
  </si>
  <si>
    <t>حفیظ احمد منصور</t>
  </si>
  <si>
    <t>شاہ محمد</t>
  </si>
  <si>
    <t>میٹرک</t>
  </si>
  <si>
    <t>رفیق احمد صالح</t>
  </si>
  <si>
    <t>صالح محمد</t>
  </si>
  <si>
    <t>رفیق احمد وڑایچ</t>
  </si>
  <si>
    <t>زاہد تنویر</t>
  </si>
  <si>
    <t>بشیر احمد</t>
  </si>
  <si>
    <t>ڈپلومہ</t>
  </si>
  <si>
    <t>کاروبار</t>
  </si>
  <si>
    <t>طارق محمود</t>
  </si>
  <si>
    <t>عبدالحمید</t>
  </si>
  <si>
    <t>نصراللہ ہشام</t>
  </si>
  <si>
    <t>000078841</t>
  </si>
  <si>
    <t>000017234</t>
  </si>
  <si>
    <t>000112252</t>
  </si>
  <si>
    <t>000074389</t>
  </si>
  <si>
    <t>طاہر وہاب</t>
  </si>
  <si>
    <t>خالد محمود</t>
  </si>
  <si>
    <t xml:space="preserve">فیصل </t>
  </si>
  <si>
    <t>عبدالقیوم</t>
  </si>
  <si>
    <t>عبدالحی</t>
  </si>
  <si>
    <t>فاروق احمد خان</t>
  </si>
  <si>
    <t xml:space="preserve">حبیب احمد خان </t>
  </si>
  <si>
    <t>000080612</t>
  </si>
  <si>
    <t>مبشر اقبال قریشی</t>
  </si>
  <si>
    <t>عبدالحق قریشی</t>
  </si>
  <si>
    <t>محمد صادق ظفر</t>
  </si>
  <si>
    <t>محمد احسن ظفر</t>
  </si>
  <si>
    <t xml:space="preserve">محمد حبیب اللہ </t>
  </si>
  <si>
    <t>محمد نصراللہ</t>
  </si>
  <si>
    <t>000033558</t>
  </si>
  <si>
    <t>بیچلر(انجنیر)</t>
  </si>
  <si>
    <t>محمد عبدالسلام</t>
  </si>
  <si>
    <t>حاجی لال دین</t>
  </si>
  <si>
    <t>O-</t>
  </si>
  <si>
    <t>مرزا عبدالرزاق</t>
  </si>
  <si>
    <t>مرزا عبدالوحید</t>
  </si>
  <si>
    <t>ملک عبدالرحمٰن</t>
  </si>
  <si>
    <t>000040118</t>
  </si>
  <si>
    <t>انٹرمیڈیٹ</t>
  </si>
  <si>
    <t>منصور احمد انجم ہاشمی</t>
  </si>
  <si>
    <t>محمد شریف ہاشمی</t>
  </si>
  <si>
    <t>منور احمد</t>
  </si>
  <si>
    <t>عبدالمنان</t>
  </si>
  <si>
    <t>ناصر احمد</t>
  </si>
  <si>
    <t>عبداواحد</t>
  </si>
  <si>
    <t>حبیب احمد</t>
  </si>
  <si>
    <t>اعجاز احمد</t>
  </si>
  <si>
    <t>امان اللہ</t>
  </si>
  <si>
    <t>مربی سلسلہ</t>
  </si>
  <si>
    <t>مبشر احمد ورک</t>
  </si>
  <si>
    <t>000034769</t>
  </si>
  <si>
    <t>سواں گارڈن</t>
  </si>
  <si>
    <t>ضلع</t>
  </si>
  <si>
    <t>اسلام آباد</t>
  </si>
  <si>
    <t>تاریخ</t>
  </si>
  <si>
    <t>current date</t>
  </si>
  <si>
    <t>000030265</t>
  </si>
  <si>
    <t>Current Age</t>
  </si>
  <si>
    <t>ڈاکٹر(MBBS)</t>
  </si>
  <si>
    <t>کوائِف تجنید مجلس</t>
  </si>
  <si>
    <t>دستخط ذعیم اعلی  ضلع:</t>
  </si>
  <si>
    <t>دستخط ذعیم اعلی / ذعیم مجلس:</t>
  </si>
  <si>
    <t>تاریخ: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</si>
</sst>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;@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Microsoft Uighur"/>
    </font>
    <font>
      <b/>
      <sz val="16"/>
      <color theme="1"/>
      <name val="Microsoft Uighur"/>
    </font>
    <font>
      <sz val="12"/>
      <color theme="1"/>
      <name val="Microsoft Uighur"/>
    </font>
    <font>
      <b/>
      <sz val="14"/>
      <color theme="1"/>
      <name val="Microsoft Uighur"/>
    </font>
    <font>
      <sz val="14"/>
      <color theme="1"/>
      <name val="Microsoft Uighu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/>
    <xf numFmtId="0" fontId="4" fillId="0" borderId="0" xfId="0" applyFont="1"/>
    <xf numFmtId="165" fontId="4" fillId="0" borderId="0" xfId="1" applyNumberFormat="1" applyFont="1"/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/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165" fontId="6" fillId="0" borderId="1" xfId="1" applyNumberFormat="1" applyFont="1" applyBorder="1"/>
    <xf numFmtId="14" fontId="6" fillId="0" borderId="1" xfId="0" applyNumberFormat="1" applyFont="1" applyBorder="1" applyAlignment="1">
      <alignment horizontal="right" vertical="center"/>
    </xf>
    <xf numFmtId="165" fontId="5" fillId="0" borderId="1" xfId="1" applyNumberFormat="1" applyFont="1" applyBorder="1" applyAlignment="1">
      <alignment horizontal="center" vertical="center"/>
    </xf>
    <xf numFmtId="165" fontId="6" fillId="0" borderId="0" xfId="1" quotePrefix="1" applyNumberFormat="1" applyFont="1" applyFill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6" fillId="0" borderId="1" xfId="1" quotePrefix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6" fillId="0" borderId="1" xfId="1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60DC-A577-4B68-88A4-6FFC36E726E3}">
  <sheetPr>
    <pageSetUpPr fitToPage="1"/>
  </sheetPr>
  <dimension ref="A1:T48"/>
  <sheetViews>
    <sheetView tabSelected="1" topLeftCell="A27" zoomScaleNormal="100" workbookViewId="0">
      <selection activeCell="F39" sqref="F39"/>
    </sheetView>
  </sheetViews>
  <sheetFormatPr defaultRowHeight="18.600000000000001" x14ac:dyDescent="0.55000000000000004"/>
  <cols>
    <col min="1" max="1" width="6.33203125" style="8" customWidth="1"/>
    <col min="2" max="2" width="8.109375" style="8" customWidth="1"/>
    <col min="3" max="3" width="11.21875" style="8" customWidth="1"/>
    <col min="4" max="4" width="6.44140625" style="8" customWidth="1"/>
    <col min="5" max="5" width="6.21875" style="8" customWidth="1"/>
    <col min="6" max="6" width="7" style="8" customWidth="1"/>
    <col min="7" max="7" width="5.77734375" style="8" customWidth="1"/>
    <col min="8" max="8" width="10.109375" style="8" bestFit="1" customWidth="1"/>
    <col min="9" max="9" width="9.77734375" style="29" bestFit="1" customWidth="1"/>
    <col min="10" max="10" width="13.6640625" style="8" customWidth="1"/>
    <col min="11" max="11" width="9.88671875" style="9" customWidth="1"/>
    <col min="12" max="12" width="15.109375" style="10" customWidth="1"/>
    <col min="13" max="13" width="17.44140625" style="8" customWidth="1"/>
    <col min="14" max="14" width="19.109375" style="10" customWidth="1"/>
    <col min="15" max="15" width="10.6640625" style="8" customWidth="1"/>
    <col min="16" max="16" width="7" style="8" bestFit="1" customWidth="1"/>
    <col min="17" max="17" width="8.88671875" style="5"/>
    <col min="18" max="18" width="9.44140625" style="9" hidden="1" customWidth="1"/>
    <col min="19" max="19" width="0" style="5" hidden="1" customWidth="1"/>
    <col min="20" max="20" width="10.88671875" style="6" hidden="1" customWidth="1"/>
    <col min="21" max="16384" width="8.88671875" style="5"/>
  </cols>
  <sheetData>
    <row r="1" spans="1:20" s="2" customFormat="1" ht="24.6" thickBot="1" x14ac:dyDescent="0.55000000000000004">
      <c r="A1" s="1"/>
      <c r="B1" s="34">
        <v>44865</v>
      </c>
      <c r="C1" s="34"/>
      <c r="D1" s="34"/>
      <c r="E1" s="31" t="s">
        <v>99</v>
      </c>
      <c r="F1" s="31"/>
      <c r="G1" s="31"/>
      <c r="H1" s="33" t="s">
        <v>98</v>
      </c>
      <c r="I1" s="33"/>
      <c r="J1" s="31" t="s">
        <v>97</v>
      </c>
      <c r="K1" s="31"/>
      <c r="L1" s="32" t="s">
        <v>96</v>
      </c>
      <c r="M1" s="32"/>
      <c r="N1" s="31" t="s">
        <v>104</v>
      </c>
      <c r="O1" s="31"/>
      <c r="P1" s="31"/>
      <c r="R1" s="3"/>
      <c r="T1" s="4"/>
    </row>
    <row r="2" spans="1:20" ht="4.8" customHeight="1" x14ac:dyDescent="0.55000000000000004"/>
    <row r="3" spans="1:20" s="16" customFormat="1" ht="21.6" x14ac:dyDescent="0.65">
      <c r="A3" s="11" t="s">
        <v>18</v>
      </c>
      <c r="B3" s="11" t="s">
        <v>17</v>
      </c>
      <c r="C3" s="11" t="s">
        <v>16</v>
      </c>
      <c r="D3" s="12" t="s">
        <v>15</v>
      </c>
      <c r="E3" s="12"/>
      <c r="F3" s="13" t="s">
        <v>12</v>
      </c>
      <c r="G3" s="13"/>
      <c r="H3" s="11" t="s">
        <v>11</v>
      </c>
      <c r="I3" s="25" t="s">
        <v>10</v>
      </c>
      <c r="J3" s="11" t="s">
        <v>9</v>
      </c>
      <c r="K3" s="14" t="s">
        <v>8</v>
      </c>
      <c r="L3" s="15" t="s">
        <v>7</v>
      </c>
      <c r="M3" s="11" t="s">
        <v>6</v>
      </c>
      <c r="N3" s="15" t="s">
        <v>5</v>
      </c>
      <c r="O3" s="11" t="s">
        <v>37</v>
      </c>
      <c r="P3" s="11" t="s">
        <v>4</v>
      </c>
      <c r="R3" s="17" t="s">
        <v>100</v>
      </c>
      <c r="T3" s="23" t="s">
        <v>102</v>
      </c>
    </row>
    <row r="4" spans="1:20" s="16" customFormat="1" ht="21.6" x14ac:dyDescent="0.65">
      <c r="A4" s="18" t="s">
        <v>25</v>
      </c>
      <c r="B4" s="18" t="s">
        <v>40</v>
      </c>
      <c r="C4" s="18" t="s">
        <v>93</v>
      </c>
      <c r="D4" s="18" t="s">
        <v>14</v>
      </c>
      <c r="E4" s="18" t="s">
        <v>13</v>
      </c>
      <c r="F4" s="18" t="s">
        <v>14</v>
      </c>
      <c r="G4" s="18" t="s">
        <v>13</v>
      </c>
      <c r="H4" s="18" t="s">
        <v>45</v>
      </c>
      <c r="I4" s="26" t="s">
        <v>95</v>
      </c>
      <c r="J4" s="18">
        <v>1894</v>
      </c>
      <c r="K4" s="17">
        <v>29758</v>
      </c>
      <c r="L4" s="19" t="s">
        <v>63</v>
      </c>
      <c r="M4" s="18" t="s">
        <v>28</v>
      </c>
      <c r="N4" s="19" t="s">
        <v>92</v>
      </c>
      <c r="O4" s="20"/>
      <c r="P4" s="18">
        <v>1</v>
      </c>
      <c r="R4" s="17">
        <v>44865</v>
      </c>
      <c r="T4" s="23">
        <f>(R4-K4)/365</f>
        <v>41.389041095890413</v>
      </c>
    </row>
    <row r="5" spans="1:20" s="16" customFormat="1" ht="21.6" x14ac:dyDescent="0.65">
      <c r="A5" s="18" t="s">
        <v>25</v>
      </c>
      <c r="B5" s="18" t="s">
        <v>40</v>
      </c>
      <c r="C5" s="18" t="s">
        <v>93</v>
      </c>
      <c r="D5" s="18" t="s">
        <v>14</v>
      </c>
      <c r="E5" s="18" t="s">
        <v>13</v>
      </c>
      <c r="F5" s="18" t="s">
        <v>14</v>
      </c>
      <c r="G5" s="18" t="s">
        <v>13</v>
      </c>
      <c r="H5" s="18" t="s">
        <v>45</v>
      </c>
      <c r="I5" s="30" t="s">
        <v>101</v>
      </c>
      <c r="J5" s="20" t="s">
        <v>3</v>
      </c>
      <c r="K5" s="21">
        <v>22557</v>
      </c>
      <c r="L5" s="22" t="s">
        <v>50</v>
      </c>
      <c r="M5" s="11" t="s">
        <v>1</v>
      </c>
      <c r="N5" s="19" t="s">
        <v>94</v>
      </c>
      <c r="O5" s="20"/>
      <c r="P5" s="18">
        <v>2</v>
      </c>
      <c r="R5" s="17">
        <v>44865</v>
      </c>
      <c r="T5" s="23">
        <f>(R5-K5)/365</f>
        <v>61.11780821917808</v>
      </c>
    </row>
    <row r="6" spans="1:20" s="16" customFormat="1" ht="21.6" x14ac:dyDescent="0.65">
      <c r="A6" s="18" t="s">
        <v>25</v>
      </c>
      <c r="B6" s="18" t="s">
        <v>24</v>
      </c>
      <c r="C6" s="18" t="s">
        <v>20</v>
      </c>
      <c r="D6" s="18" t="s">
        <v>19</v>
      </c>
      <c r="E6" s="18" t="s">
        <v>13</v>
      </c>
      <c r="F6" s="18" t="s">
        <v>14</v>
      </c>
      <c r="G6" s="18" t="s">
        <v>13</v>
      </c>
      <c r="H6" s="18" t="s">
        <v>23</v>
      </c>
      <c r="I6" s="27">
        <v>0</v>
      </c>
      <c r="J6" s="18" t="s">
        <v>3</v>
      </c>
      <c r="K6" s="17">
        <v>29102</v>
      </c>
      <c r="L6" s="19" t="s">
        <v>22</v>
      </c>
      <c r="M6" s="18" t="s">
        <v>28</v>
      </c>
      <c r="N6" s="19" t="s">
        <v>21</v>
      </c>
      <c r="O6" s="18">
        <v>697263</v>
      </c>
      <c r="P6" s="18">
        <v>3</v>
      </c>
      <c r="R6" s="17">
        <v>44865</v>
      </c>
      <c r="T6" s="23">
        <f>(R6-K6)/365</f>
        <v>43.186301369863017</v>
      </c>
    </row>
    <row r="7" spans="1:20" s="16" customFormat="1" ht="21.6" x14ac:dyDescent="0.65">
      <c r="A7" s="18" t="s">
        <v>25</v>
      </c>
      <c r="B7" s="18"/>
      <c r="C7" s="18" t="s">
        <v>31</v>
      </c>
      <c r="D7" s="18" t="s">
        <v>19</v>
      </c>
      <c r="E7" s="18" t="s">
        <v>13</v>
      </c>
      <c r="F7" s="18" t="s">
        <v>14</v>
      </c>
      <c r="G7" s="18" t="s">
        <v>13</v>
      </c>
      <c r="H7" s="18" t="s">
        <v>83</v>
      </c>
      <c r="I7" s="28" t="s">
        <v>82</v>
      </c>
      <c r="J7" s="18" t="s">
        <v>3</v>
      </c>
      <c r="K7" s="17">
        <v>17137</v>
      </c>
      <c r="L7" s="19" t="s">
        <v>81</v>
      </c>
      <c r="M7" s="11" t="s">
        <v>1</v>
      </c>
      <c r="N7" s="19" t="s">
        <v>22</v>
      </c>
      <c r="O7" s="18">
        <v>633202</v>
      </c>
      <c r="P7" s="18">
        <v>4</v>
      </c>
      <c r="R7" s="17">
        <v>44865</v>
      </c>
      <c r="T7" s="23">
        <f t="shared" ref="T7:T30" si="0">(R7-K7)/365</f>
        <v>75.967123287671228</v>
      </c>
    </row>
    <row r="8" spans="1:20" s="16" customFormat="1" ht="21.6" x14ac:dyDescent="0.65">
      <c r="A8" s="18" t="s">
        <v>26</v>
      </c>
      <c r="B8" s="18" t="s">
        <v>32</v>
      </c>
      <c r="C8" s="18" t="s">
        <v>31</v>
      </c>
      <c r="D8" s="18" t="s">
        <v>19</v>
      </c>
      <c r="E8" s="18" t="s">
        <v>13</v>
      </c>
      <c r="F8" s="18" t="s">
        <v>14</v>
      </c>
      <c r="G8" s="18" t="s">
        <v>13</v>
      </c>
      <c r="H8" s="18" t="s">
        <v>30</v>
      </c>
      <c r="I8" s="27">
        <v>0</v>
      </c>
      <c r="J8" s="18" t="s">
        <v>3</v>
      </c>
      <c r="K8" s="17">
        <v>19391</v>
      </c>
      <c r="L8" s="19" t="s">
        <v>29</v>
      </c>
      <c r="M8" s="11" t="s">
        <v>1</v>
      </c>
      <c r="N8" s="19" t="s">
        <v>27</v>
      </c>
      <c r="O8" s="18">
        <v>690594</v>
      </c>
      <c r="P8" s="18">
        <v>5</v>
      </c>
      <c r="R8" s="17">
        <v>44865</v>
      </c>
      <c r="T8" s="23">
        <f t="shared" si="0"/>
        <v>69.791780821917811</v>
      </c>
    </row>
    <row r="9" spans="1:20" s="16" customFormat="1" ht="21.6" x14ac:dyDescent="0.65">
      <c r="A9" s="18" t="s">
        <v>26</v>
      </c>
      <c r="B9" s="18" t="s">
        <v>40</v>
      </c>
      <c r="C9" s="18" t="s">
        <v>20</v>
      </c>
      <c r="D9" s="18" t="s">
        <v>19</v>
      </c>
      <c r="E9" s="18" t="s">
        <v>13</v>
      </c>
      <c r="F9" s="18" t="s">
        <v>14</v>
      </c>
      <c r="G9" s="18" t="s">
        <v>13</v>
      </c>
      <c r="H9" s="18" t="s">
        <v>23</v>
      </c>
      <c r="I9" s="27">
        <v>0</v>
      </c>
      <c r="J9" s="18" t="s">
        <v>3</v>
      </c>
      <c r="K9" s="17">
        <v>26511</v>
      </c>
      <c r="L9" s="19" t="s">
        <v>2</v>
      </c>
      <c r="M9" s="11" t="s">
        <v>1</v>
      </c>
      <c r="N9" s="19" t="s">
        <v>0</v>
      </c>
      <c r="O9" s="18">
        <v>629409</v>
      </c>
      <c r="P9" s="18">
        <v>6</v>
      </c>
      <c r="R9" s="17">
        <v>44865</v>
      </c>
      <c r="T9" s="23">
        <f t="shared" si="0"/>
        <v>50.284931506849318</v>
      </c>
    </row>
    <row r="10" spans="1:20" s="16" customFormat="1" ht="21.6" x14ac:dyDescent="0.65">
      <c r="A10" s="18" t="s">
        <v>26</v>
      </c>
      <c r="B10" s="18"/>
      <c r="C10" s="18" t="s">
        <v>20</v>
      </c>
      <c r="D10" s="18" t="s">
        <v>19</v>
      </c>
      <c r="E10" s="18" t="s">
        <v>13</v>
      </c>
      <c r="F10" s="18" t="s">
        <v>14</v>
      </c>
      <c r="G10" s="18" t="s">
        <v>13</v>
      </c>
      <c r="H10" s="18" t="s">
        <v>30</v>
      </c>
      <c r="I10" s="27">
        <v>0</v>
      </c>
      <c r="J10" s="18" t="s">
        <v>3</v>
      </c>
      <c r="K10" s="17">
        <v>27364</v>
      </c>
      <c r="L10" s="19" t="s">
        <v>46</v>
      </c>
      <c r="M10" s="11" t="s">
        <v>1</v>
      </c>
      <c r="N10" s="19" t="s">
        <v>33</v>
      </c>
      <c r="O10" s="18">
        <v>691771</v>
      </c>
      <c r="P10" s="18">
        <v>7</v>
      </c>
      <c r="R10" s="17">
        <v>44865</v>
      </c>
      <c r="T10" s="23">
        <f t="shared" si="0"/>
        <v>47.947945205479449</v>
      </c>
    </row>
    <row r="11" spans="1:20" s="16" customFormat="1" ht="21.6" x14ac:dyDescent="0.65">
      <c r="A11" s="18" t="s">
        <v>25</v>
      </c>
      <c r="B11" s="18" t="s">
        <v>40</v>
      </c>
      <c r="C11" s="18" t="s">
        <v>31</v>
      </c>
      <c r="D11" s="18" t="s">
        <v>19</v>
      </c>
      <c r="E11" s="18" t="s">
        <v>13</v>
      </c>
      <c r="F11" s="18" t="s">
        <v>14</v>
      </c>
      <c r="G11" s="18" t="s">
        <v>13</v>
      </c>
      <c r="H11" s="18" t="s">
        <v>23</v>
      </c>
      <c r="I11" s="28" t="s">
        <v>36</v>
      </c>
      <c r="J11" s="18" t="s">
        <v>3</v>
      </c>
      <c r="K11" s="17">
        <v>24485</v>
      </c>
      <c r="L11" s="19" t="s">
        <v>35</v>
      </c>
      <c r="M11" s="11" t="s">
        <v>1</v>
      </c>
      <c r="N11" s="19" t="s">
        <v>34</v>
      </c>
      <c r="O11" s="18">
        <v>600898</v>
      </c>
      <c r="P11" s="18">
        <v>8</v>
      </c>
      <c r="R11" s="17">
        <v>44865</v>
      </c>
      <c r="T11" s="23">
        <f t="shared" si="0"/>
        <v>55.835616438356162</v>
      </c>
    </row>
    <row r="12" spans="1:20" s="16" customFormat="1" ht="21.6" x14ac:dyDescent="0.65">
      <c r="A12" s="18" t="s">
        <v>25</v>
      </c>
      <c r="B12" s="18" t="s">
        <v>40</v>
      </c>
      <c r="C12" s="18" t="s">
        <v>31</v>
      </c>
      <c r="D12" s="18" t="s">
        <v>19</v>
      </c>
      <c r="E12" s="18" t="s">
        <v>13</v>
      </c>
      <c r="F12" s="18" t="s">
        <v>14</v>
      </c>
      <c r="G12" s="18" t="s">
        <v>13</v>
      </c>
      <c r="H12" s="18" t="s">
        <v>23</v>
      </c>
      <c r="I12" s="28" t="s">
        <v>57</v>
      </c>
      <c r="J12" s="18" t="s">
        <v>3</v>
      </c>
      <c r="K12" s="17">
        <v>11079</v>
      </c>
      <c r="L12" s="19" t="s">
        <v>38</v>
      </c>
      <c r="M12" s="11" t="s">
        <v>1</v>
      </c>
      <c r="N12" s="19" t="s">
        <v>35</v>
      </c>
      <c r="O12" s="18">
        <v>611435</v>
      </c>
      <c r="P12" s="18">
        <v>9</v>
      </c>
      <c r="R12" s="17">
        <v>44865</v>
      </c>
      <c r="T12" s="23">
        <f t="shared" si="0"/>
        <v>92.564383561643837</v>
      </c>
    </row>
    <row r="13" spans="1:20" s="16" customFormat="1" ht="21.6" x14ac:dyDescent="0.65">
      <c r="A13" s="18" t="s">
        <v>25</v>
      </c>
      <c r="B13" s="18" t="s">
        <v>39</v>
      </c>
      <c r="C13" s="18" t="s">
        <v>20</v>
      </c>
      <c r="D13" s="18" t="s">
        <v>19</v>
      </c>
      <c r="E13" s="18" t="s">
        <v>13</v>
      </c>
      <c r="F13" s="18" t="s">
        <v>14</v>
      </c>
      <c r="G13" s="18" t="s">
        <v>13</v>
      </c>
      <c r="H13" s="18" t="s">
        <v>30</v>
      </c>
      <c r="I13" s="28" t="s">
        <v>58</v>
      </c>
      <c r="J13" s="18" t="s">
        <v>3</v>
      </c>
      <c r="K13" s="17">
        <v>21610</v>
      </c>
      <c r="L13" s="19" t="s">
        <v>42</v>
      </c>
      <c r="M13" s="11" t="s">
        <v>1</v>
      </c>
      <c r="N13" s="19" t="s">
        <v>41</v>
      </c>
      <c r="O13" s="18">
        <v>600898</v>
      </c>
      <c r="P13" s="18">
        <v>10</v>
      </c>
      <c r="R13" s="17">
        <v>44865</v>
      </c>
      <c r="T13" s="23">
        <f t="shared" si="0"/>
        <v>63.712328767123289</v>
      </c>
    </row>
    <row r="14" spans="1:20" s="16" customFormat="1" ht="21.6" x14ac:dyDescent="0.65">
      <c r="A14" s="18" t="s">
        <v>25</v>
      </c>
      <c r="B14" s="18" t="s">
        <v>39</v>
      </c>
      <c r="C14" s="18" t="s">
        <v>31</v>
      </c>
      <c r="D14" s="18" t="s">
        <v>14</v>
      </c>
      <c r="E14" s="18" t="s">
        <v>13</v>
      </c>
      <c r="F14" s="18" t="s">
        <v>14</v>
      </c>
      <c r="G14" s="18" t="s">
        <v>13</v>
      </c>
      <c r="H14" s="18" t="s">
        <v>45</v>
      </c>
      <c r="I14" s="27"/>
      <c r="J14" s="18" t="s">
        <v>3</v>
      </c>
      <c r="K14" s="17">
        <v>12785</v>
      </c>
      <c r="L14" s="19" t="s">
        <v>44</v>
      </c>
      <c r="M14" s="11" t="s">
        <v>1</v>
      </c>
      <c r="N14" s="19" t="s">
        <v>43</v>
      </c>
      <c r="O14" s="18">
        <v>626871</v>
      </c>
      <c r="P14" s="18">
        <v>11</v>
      </c>
      <c r="R14" s="17">
        <v>44865</v>
      </c>
      <c r="T14" s="23">
        <f t="shared" si="0"/>
        <v>87.890410958904113</v>
      </c>
    </row>
    <row r="15" spans="1:20" s="16" customFormat="1" ht="21.6" x14ac:dyDescent="0.65">
      <c r="A15" s="18" t="s">
        <v>25</v>
      </c>
      <c r="B15" s="18"/>
      <c r="C15" s="18" t="s">
        <v>31</v>
      </c>
      <c r="D15" s="18" t="s">
        <v>19</v>
      </c>
      <c r="E15" s="18" t="s">
        <v>13</v>
      </c>
      <c r="F15" s="18" t="s">
        <v>14</v>
      </c>
      <c r="G15" s="18" t="s">
        <v>13</v>
      </c>
      <c r="H15" s="18" t="s">
        <v>23</v>
      </c>
      <c r="I15" s="27"/>
      <c r="J15" s="18" t="s">
        <v>3</v>
      </c>
      <c r="K15" s="17">
        <v>17168</v>
      </c>
      <c r="L15" s="19" t="s">
        <v>47</v>
      </c>
      <c r="M15" s="11" t="s">
        <v>1</v>
      </c>
      <c r="N15" s="19" t="s">
        <v>46</v>
      </c>
      <c r="O15" s="18">
        <v>629430</v>
      </c>
      <c r="P15" s="18">
        <v>12</v>
      </c>
      <c r="R15" s="17">
        <v>44865</v>
      </c>
      <c r="T15" s="23">
        <f t="shared" si="0"/>
        <v>75.882191780821913</v>
      </c>
    </row>
    <row r="16" spans="1:20" s="16" customFormat="1" ht="21.6" x14ac:dyDescent="0.65">
      <c r="A16" s="18" t="s">
        <v>25</v>
      </c>
      <c r="B16" s="18" t="s">
        <v>39</v>
      </c>
      <c r="C16" s="18" t="s">
        <v>20</v>
      </c>
      <c r="D16" s="18" t="s">
        <v>19</v>
      </c>
      <c r="E16" s="18" t="s">
        <v>13</v>
      </c>
      <c r="F16" s="18" t="s">
        <v>14</v>
      </c>
      <c r="G16" s="18" t="s">
        <v>13</v>
      </c>
      <c r="H16" s="18" t="s">
        <v>23</v>
      </c>
      <c r="I16" s="27"/>
      <c r="J16" s="18" t="s">
        <v>3</v>
      </c>
      <c r="K16" s="17">
        <v>26988</v>
      </c>
      <c r="L16" s="19" t="s">
        <v>43</v>
      </c>
      <c r="M16" s="11" t="s">
        <v>1</v>
      </c>
      <c r="N16" s="19" t="s">
        <v>48</v>
      </c>
      <c r="O16" s="18">
        <v>629430</v>
      </c>
      <c r="P16" s="18">
        <v>13</v>
      </c>
      <c r="R16" s="17">
        <v>44865</v>
      </c>
      <c r="T16" s="23">
        <f t="shared" si="0"/>
        <v>48.978082191780821</v>
      </c>
    </row>
    <row r="17" spans="1:20" s="16" customFormat="1" ht="21.6" x14ac:dyDescent="0.65">
      <c r="A17" s="18" t="s">
        <v>25</v>
      </c>
      <c r="B17" s="18"/>
      <c r="C17" s="18" t="s">
        <v>52</v>
      </c>
      <c r="D17" s="18" t="s">
        <v>19</v>
      </c>
      <c r="E17" s="18" t="s">
        <v>13</v>
      </c>
      <c r="F17" s="18" t="s">
        <v>14</v>
      </c>
      <c r="G17" s="18" t="s">
        <v>13</v>
      </c>
      <c r="H17" s="18" t="s">
        <v>51</v>
      </c>
      <c r="I17" s="28" t="s">
        <v>56</v>
      </c>
      <c r="J17" s="18" t="s">
        <v>3</v>
      </c>
      <c r="K17" s="17">
        <v>29319</v>
      </c>
      <c r="L17" s="19" t="s">
        <v>50</v>
      </c>
      <c r="M17" s="11" t="s">
        <v>1</v>
      </c>
      <c r="N17" s="19" t="s">
        <v>49</v>
      </c>
      <c r="O17" s="18">
        <v>73236</v>
      </c>
      <c r="P17" s="18">
        <v>14</v>
      </c>
      <c r="R17" s="17">
        <v>44865</v>
      </c>
      <c r="T17" s="23">
        <f t="shared" si="0"/>
        <v>42.591780821917808</v>
      </c>
    </row>
    <row r="18" spans="1:20" s="16" customFormat="1" ht="21.6" x14ac:dyDescent="0.65">
      <c r="A18" s="18" t="s">
        <v>25</v>
      </c>
      <c r="B18" s="18" t="s">
        <v>32</v>
      </c>
      <c r="C18" s="18" t="s">
        <v>20</v>
      </c>
      <c r="D18" s="18" t="s">
        <v>19</v>
      </c>
      <c r="E18" s="18" t="s">
        <v>13</v>
      </c>
      <c r="F18" s="18" t="s">
        <v>14</v>
      </c>
      <c r="G18" s="18" t="s">
        <v>13</v>
      </c>
      <c r="H18" s="18" t="s">
        <v>23</v>
      </c>
      <c r="I18" s="28" t="s">
        <v>59</v>
      </c>
      <c r="J18" s="18" t="s">
        <v>3</v>
      </c>
      <c r="K18" s="17">
        <v>26067</v>
      </c>
      <c r="L18" s="19" t="s">
        <v>54</v>
      </c>
      <c r="M18" s="11" t="s">
        <v>1</v>
      </c>
      <c r="N18" s="19" t="s">
        <v>53</v>
      </c>
      <c r="O18" s="18">
        <v>630107</v>
      </c>
      <c r="P18" s="18">
        <v>15</v>
      </c>
      <c r="R18" s="17">
        <v>44865</v>
      </c>
      <c r="T18" s="23">
        <f t="shared" si="0"/>
        <v>51.5013698630137</v>
      </c>
    </row>
    <row r="19" spans="1:20" s="16" customFormat="1" ht="21.6" x14ac:dyDescent="0.65">
      <c r="A19" s="18" t="s">
        <v>25</v>
      </c>
      <c r="B19" s="18"/>
      <c r="C19" s="18" t="s">
        <v>20</v>
      </c>
      <c r="D19" s="18" t="s">
        <v>19</v>
      </c>
      <c r="E19" s="18" t="s">
        <v>13</v>
      </c>
      <c r="F19" s="18" t="s">
        <v>14</v>
      </c>
      <c r="G19" s="18" t="s">
        <v>13</v>
      </c>
      <c r="H19" s="18" t="s">
        <v>23</v>
      </c>
      <c r="I19" s="27"/>
      <c r="J19" s="18" t="s">
        <v>3</v>
      </c>
      <c r="K19" s="17">
        <v>23377</v>
      </c>
      <c r="L19" s="19" t="s">
        <v>61</v>
      </c>
      <c r="M19" s="11" t="s">
        <v>1</v>
      </c>
      <c r="N19" s="19" t="s">
        <v>60</v>
      </c>
      <c r="O19" s="18">
        <v>629439</v>
      </c>
      <c r="P19" s="18">
        <v>16</v>
      </c>
      <c r="R19" s="17">
        <v>44865</v>
      </c>
      <c r="T19" s="23">
        <f t="shared" si="0"/>
        <v>58.871232876712327</v>
      </c>
    </row>
    <row r="20" spans="1:20" s="16" customFormat="1" ht="21.6" x14ac:dyDescent="0.65">
      <c r="A20" s="18" t="s">
        <v>26</v>
      </c>
      <c r="B20" s="18" t="s">
        <v>32</v>
      </c>
      <c r="C20" s="18" t="s">
        <v>20</v>
      </c>
      <c r="D20" s="18" t="s">
        <v>19</v>
      </c>
      <c r="E20" s="18" t="s">
        <v>13</v>
      </c>
      <c r="F20" s="18" t="s">
        <v>14</v>
      </c>
      <c r="G20" s="18" t="s">
        <v>13</v>
      </c>
      <c r="H20" s="18" t="s">
        <v>23</v>
      </c>
      <c r="I20" s="27"/>
      <c r="J20" s="18" t="s">
        <v>3</v>
      </c>
      <c r="K20" s="17">
        <v>29895</v>
      </c>
      <c r="L20" s="19" t="s">
        <v>64</v>
      </c>
      <c r="M20" s="18" t="s">
        <v>28</v>
      </c>
      <c r="N20" s="19" t="s">
        <v>63</v>
      </c>
      <c r="O20" s="18">
        <v>698781</v>
      </c>
      <c r="P20" s="18">
        <v>17</v>
      </c>
      <c r="R20" s="17">
        <v>44865</v>
      </c>
      <c r="T20" s="23">
        <f t="shared" si="0"/>
        <v>41.013698630136986</v>
      </c>
    </row>
    <row r="21" spans="1:20" s="16" customFormat="1" ht="21.6" x14ac:dyDescent="0.65">
      <c r="A21" s="18"/>
      <c r="B21" s="18"/>
      <c r="C21" s="18" t="s">
        <v>31</v>
      </c>
      <c r="D21" s="18" t="s">
        <v>19</v>
      </c>
      <c r="E21" s="18" t="s">
        <v>13</v>
      </c>
      <c r="F21" s="18" t="s">
        <v>14</v>
      </c>
      <c r="G21" s="18" t="s">
        <v>13</v>
      </c>
      <c r="H21" s="18" t="s">
        <v>23</v>
      </c>
      <c r="I21" s="28" t="s">
        <v>67</v>
      </c>
      <c r="J21" s="18" t="s">
        <v>3</v>
      </c>
      <c r="K21" s="17">
        <v>21551</v>
      </c>
      <c r="L21" s="19" t="s">
        <v>66</v>
      </c>
      <c r="M21" s="11" t="s">
        <v>1</v>
      </c>
      <c r="N21" s="19" t="s">
        <v>65</v>
      </c>
      <c r="O21" s="18">
        <v>697260</v>
      </c>
      <c r="P21" s="18">
        <v>18</v>
      </c>
      <c r="R21" s="17">
        <v>44865</v>
      </c>
      <c r="T21" s="23">
        <f t="shared" si="0"/>
        <v>63.873972602739727</v>
      </c>
    </row>
    <row r="22" spans="1:20" s="16" customFormat="1" ht="21.6" x14ac:dyDescent="0.65">
      <c r="A22" s="18" t="s">
        <v>25</v>
      </c>
      <c r="B22" s="18"/>
      <c r="C22" s="18" t="s">
        <v>52</v>
      </c>
      <c r="D22" s="18" t="s">
        <v>19</v>
      </c>
      <c r="E22" s="18" t="s">
        <v>13</v>
      </c>
      <c r="F22" s="18" t="s">
        <v>14</v>
      </c>
      <c r="G22" s="18" t="s">
        <v>13</v>
      </c>
      <c r="H22" s="18" t="s">
        <v>103</v>
      </c>
      <c r="I22" s="27"/>
      <c r="J22" s="18" t="s">
        <v>3</v>
      </c>
      <c r="K22" s="17">
        <v>20090</v>
      </c>
      <c r="L22" s="19" t="s">
        <v>69</v>
      </c>
      <c r="M22" s="11" t="s">
        <v>1</v>
      </c>
      <c r="N22" s="19" t="s">
        <v>68</v>
      </c>
      <c r="O22" s="18">
        <v>696347</v>
      </c>
      <c r="P22" s="18">
        <v>19</v>
      </c>
      <c r="R22" s="17">
        <v>44865</v>
      </c>
      <c r="T22" s="23">
        <f t="shared" si="0"/>
        <v>67.876712328767127</v>
      </c>
    </row>
    <row r="23" spans="1:20" s="16" customFormat="1" ht="21.6" x14ac:dyDescent="0.65">
      <c r="A23" s="18" t="s">
        <v>25</v>
      </c>
      <c r="B23" s="18"/>
      <c r="C23" s="18" t="s">
        <v>20</v>
      </c>
      <c r="D23" s="18" t="s">
        <v>19</v>
      </c>
      <c r="E23" s="18" t="s">
        <v>13</v>
      </c>
      <c r="F23" s="18" t="s">
        <v>14</v>
      </c>
      <c r="G23" s="18" t="s">
        <v>13</v>
      </c>
      <c r="H23" s="18" t="s">
        <v>23</v>
      </c>
      <c r="I23" s="27"/>
      <c r="J23" s="18" t="s">
        <v>3</v>
      </c>
      <c r="K23" s="17">
        <v>27760</v>
      </c>
      <c r="L23" s="19" t="s">
        <v>70</v>
      </c>
      <c r="M23" s="18" t="s">
        <v>28</v>
      </c>
      <c r="N23" s="19" t="s">
        <v>71</v>
      </c>
      <c r="O23" s="18">
        <v>697262</v>
      </c>
      <c r="P23" s="18">
        <v>20</v>
      </c>
      <c r="R23" s="17">
        <v>44865</v>
      </c>
      <c r="T23" s="23">
        <f t="shared" si="0"/>
        <v>46.863013698630134</v>
      </c>
    </row>
    <row r="24" spans="1:20" s="16" customFormat="1" ht="21.6" x14ac:dyDescent="0.65">
      <c r="A24" s="18" t="s">
        <v>25</v>
      </c>
      <c r="B24" s="18" t="s">
        <v>39</v>
      </c>
      <c r="C24" s="18" t="s">
        <v>31</v>
      </c>
      <c r="D24" s="18" t="s">
        <v>19</v>
      </c>
      <c r="E24" s="18" t="s">
        <v>13</v>
      </c>
      <c r="F24" s="18" t="s">
        <v>14</v>
      </c>
      <c r="G24" s="18" t="s">
        <v>13</v>
      </c>
      <c r="H24" s="18" t="s">
        <v>75</v>
      </c>
      <c r="I24" s="28" t="s">
        <v>74</v>
      </c>
      <c r="J24" s="18" t="s">
        <v>3</v>
      </c>
      <c r="K24" s="17">
        <v>20059</v>
      </c>
      <c r="L24" s="19" t="s">
        <v>73</v>
      </c>
      <c r="M24" s="11" t="s">
        <v>1</v>
      </c>
      <c r="N24" s="19" t="s">
        <v>72</v>
      </c>
      <c r="O24" s="18">
        <v>633185</v>
      </c>
      <c r="P24" s="18">
        <v>21</v>
      </c>
      <c r="R24" s="17">
        <v>44865</v>
      </c>
      <c r="T24" s="23">
        <f t="shared" si="0"/>
        <v>67.961643835616442</v>
      </c>
    </row>
    <row r="25" spans="1:20" s="16" customFormat="1" ht="21.6" x14ac:dyDescent="0.65">
      <c r="A25" s="18" t="s">
        <v>25</v>
      </c>
      <c r="B25" s="18" t="s">
        <v>78</v>
      </c>
      <c r="C25" s="18" t="s">
        <v>20</v>
      </c>
      <c r="D25" s="18" t="s">
        <v>19</v>
      </c>
      <c r="E25" s="18" t="s">
        <v>13</v>
      </c>
      <c r="F25" s="18" t="s">
        <v>14</v>
      </c>
      <c r="G25" s="18" t="s">
        <v>13</v>
      </c>
      <c r="H25" s="18" t="s">
        <v>30</v>
      </c>
      <c r="I25" s="27"/>
      <c r="J25" s="18" t="s">
        <v>3</v>
      </c>
      <c r="K25" s="17">
        <v>23377</v>
      </c>
      <c r="L25" s="19" t="s">
        <v>77</v>
      </c>
      <c r="M25" s="11" t="s">
        <v>1</v>
      </c>
      <c r="N25" s="19" t="s">
        <v>76</v>
      </c>
      <c r="O25" s="18">
        <v>626887</v>
      </c>
      <c r="P25" s="18">
        <v>22</v>
      </c>
      <c r="R25" s="17">
        <v>44865</v>
      </c>
      <c r="T25" s="23">
        <f t="shared" si="0"/>
        <v>58.871232876712327</v>
      </c>
    </row>
    <row r="26" spans="1:20" s="16" customFormat="1" ht="21.6" x14ac:dyDescent="0.65">
      <c r="A26" s="18" t="s">
        <v>25</v>
      </c>
      <c r="B26" s="18" t="s">
        <v>40</v>
      </c>
      <c r="C26" s="18" t="s">
        <v>31</v>
      </c>
      <c r="D26" s="18" t="s">
        <v>19</v>
      </c>
      <c r="E26" s="18" t="s">
        <v>13</v>
      </c>
      <c r="F26" s="18" t="s">
        <v>14</v>
      </c>
      <c r="G26" s="18" t="s">
        <v>13</v>
      </c>
      <c r="H26" s="18" t="s">
        <v>30</v>
      </c>
      <c r="I26" s="27"/>
      <c r="J26" s="18" t="s">
        <v>3</v>
      </c>
      <c r="K26" s="17">
        <v>19299</v>
      </c>
      <c r="L26" s="19" t="s">
        <v>80</v>
      </c>
      <c r="M26" s="11" t="s">
        <v>1</v>
      </c>
      <c r="N26" s="19" t="s">
        <v>79</v>
      </c>
      <c r="O26" s="18">
        <v>629414</v>
      </c>
      <c r="P26" s="18">
        <v>23</v>
      </c>
      <c r="R26" s="17">
        <v>44865</v>
      </c>
      <c r="T26" s="23">
        <f t="shared" si="0"/>
        <v>70.043835616438358</v>
      </c>
    </row>
    <row r="27" spans="1:20" s="16" customFormat="1" ht="21.6" x14ac:dyDescent="0.65">
      <c r="A27" s="18" t="s">
        <v>25</v>
      </c>
      <c r="B27" s="18" t="s">
        <v>40</v>
      </c>
      <c r="C27" s="18" t="s">
        <v>31</v>
      </c>
      <c r="D27" s="18" t="s">
        <v>19</v>
      </c>
      <c r="E27" s="18" t="s">
        <v>13</v>
      </c>
      <c r="F27" s="18" t="s">
        <v>14</v>
      </c>
      <c r="G27" s="18" t="s">
        <v>13</v>
      </c>
      <c r="H27" s="18" t="s">
        <v>30</v>
      </c>
      <c r="I27" s="27"/>
      <c r="J27" s="18" t="s">
        <v>3</v>
      </c>
      <c r="K27" s="17">
        <v>19664</v>
      </c>
      <c r="L27" s="19" t="s">
        <v>85</v>
      </c>
      <c r="M27" s="11" t="s">
        <v>1</v>
      </c>
      <c r="N27" s="19" t="s">
        <v>84</v>
      </c>
      <c r="O27" s="18">
        <v>629429</v>
      </c>
      <c r="P27" s="18">
        <v>24</v>
      </c>
      <c r="R27" s="17">
        <v>44865</v>
      </c>
      <c r="T27" s="23">
        <f t="shared" si="0"/>
        <v>69.043835616438358</v>
      </c>
    </row>
    <row r="28" spans="1:20" s="16" customFormat="1" ht="21.6" x14ac:dyDescent="0.65">
      <c r="A28" s="18" t="s">
        <v>25</v>
      </c>
      <c r="B28" s="18" t="s">
        <v>24</v>
      </c>
      <c r="C28" s="18" t="s">
        <v>20</v>
      </c>
      <c r="D28" s="18" t="s">
        <v>19</v>
      </c>
      <c r="E28" s="18" t="s">
        <v>13</v>
      </c>
      <c r="F28" s="18" t="s">
        <v>14</v>
      </c>
      <c r="G28" s="18" t="s">
        <v>13</v>
      </c>
      <c r="H28" s="18" t="s">
        <v>83</v>
      </c>
      <c r="I28" s="27"/>
      <c r="J28" s="18" t="s">
        <v>3</v>
      </c>
      <c r="K28" s="17">
        <v>22282</v>
      </c>
      <c r="L28" s="24" t="s">
        <v>87</v>
      </c>
      <c r="M28" s="11" t="s">
        <v>1</v>
      </c>
      <c r="N28" s="19" t="s">
        <v>86</v>
      </c>
      <c r="O28" s="18">
        <v>626872</v>
      </c>
      <c r="P28" s="18">
        <v>25</v>
      </c>
      <c r="R28" s="17">
        <v>44865</v>
      </c>
      <c r="T28" s="23">
        <f t="shared" si="0"/>
        <v>61.871232876712327</v>
      </c>
    </row>
    <row r="29" spans="1:20" s="16" customFormat="1" ht="21.6" x14ac:dyDescent="0.65">
      <c r="A29" s="18" t="s">
        <v>25</v>
      </c>
      <c r="B29" s="18"/>
      <c r="C29" s="18" t="s">
        <v>31</v>
      </c>
      <c r="D29" s="18" t="s">
        <v>19</v>
      </c>
      <c r="E29" s="18" t="s">
        <v>13</v>
      </c>
      <c r="F29" s="18" t="s">
        <v>14</v>
      </c>
      <c r="G29" s="18" t="s">
        <v>13</v>
      </c>
      <c r="H29" s="18" t="s">
        <v>30</v>
      </c>
      <c r="I29" s="27"/>
      <c r="J29" s="18" t="s">
        <v>3</v>
      </c>
      <c r="K29" s="17">
        <v>27760</v>
      </c>
      <c r="L29" s="19" t="s">
        <v>89</v>
      </c>
      <c r="M29" s="18" t="s">
        <v>28</v>
      </c>
      <c r="N29" s="19" t="s">
        <v>88</v>
      </c>
      <c r="O29" s="18">
        <v>696346</v>
      </c>
      <c r="P29" s="18">
        <v>26</v>
      </c>
      <c r="R29" s="17">
        <v>44865</v>
      </c>
      <c r="T29" s="23">
        <f t="shared" si="0"/>
        <v>46.863013698630134</v>
      </c>
    </row>
    <row r="30" spans="1:20" s="16" customFormat="1" ht="21.6" x14ac:dyDescent="0.65">
      <c r="A30" s="18"/>
      <c r="B30" s="18" t="s">
        <v>39</v>
      </c>
      <c r="C30" s="18" t="s">
        <v>52</v>
      </c>
      <c r="D30" s="18" t="s">
        <v>19</v>
      </c>
      <c r="E30" s="18" t="s">
        <v>13</v>
      </c>
      <c r="F30" s="18" t="s">
        <v>14</v>
      </c>
      <c r="G30" s="18" t="s">
        <v>13</v>
      </c>
      <c r="H30" s="18" t="s">
        <v>23</v>
      </c>
      <c r="I30" s="27"/>
      <c r="J30" s="18" t="s">
        <v>3</v>
      </c>
      <c r="K30" s="17">
        <v>30189</v>
      </c>
      <c r="L30" s="19" t="s">
        <v>91</v>
      </c>
      <c r="M30" s="18" t="s">
        <v>28</v>
      </c>
      <c r="N30" s="19" t="s">
        <v>90</v>
      </c>
      <c r="O30" s="20"/>
      <c r="P30" s="18">
        <v>27</v>
      </c>
      <c r="R30" s="17">
        <v>44865</v>
      </c>
      <c r="T30" s="23">
        <f t="shared" si="0"/>
        <v>40.208219178082189</v>
      </c>
    </row>
    <row r="33" spans="3:16" x14ac:dyDescent="0.55000000000000004">
      <c r="C33" s="39"/>
      <c r="D33" s="39"/>
      <c r="E33" s="39"/>
      <c r="F33" s="39"/>
      <c r="H33" s="35" t="s">
        <v>105</v>
      </c>
      <c r="I33" s="35"/>
      <c r="J33" s="35"/>
      <c r="L33" s="39"/>
      <c r="M33" s="39"/>
      <c r="N33" s="35" t="s">
        <v>106</v>
      </c>
      <c r="O33" s="35"/>
      <c r="P33" s="35"/>
    </row>
    <row r="34" spans="3:16" ht="6.6" customHeight="1" x14ac:dyDescent="0.55000000000000004">
      <c r="C34" s="37"/>
      <c r="D34" s="37"/>
      <c r="E34" s="37"/>
      <c r="F34" s="37"/>
      <c r="H34" s="38"/>
      <c r="I34" s="38"/>
      <c r="J34" s="38"/>
      <c r="L34" s="37"/>
      <c r="M34" s="37"/>
      <c r="N34" s="38"/>
      <c r="O34" s="38"/>
      <c r="P34" s="38"/>
    </row>
    <row r="35" spans="3:16" ht="21.6" x14ac:dyDescent="0.55000000000000004">
      <c r="L35" s="40">
        <v>44865</v>
      </c>
      <c r="M35" s="40"/>
      <c r="N35" s="36" t="s">
        <v>107</v>
      </c>
      <c r="O35" s="36"/>
      <c r="P35" s="36"/>
    </row>
    <row r="47" spans="3:16" hidden="1" x14ac:dyDescent="0.55000000000000004">
      <c r="N47" s="7" t="s">
        <v>55</v>
      </c>
    </row>
    <row r="48" spans="3:16" hidden="1" x14ac:dyDescent="0.55000000000000004">
      <c r="N48" s="7" t="s">
        <v>62</v>
      </c>
    </row>
  </sheetData>
  <mergeCells count="14">
    <mergeCell ref="L33:M33"/>
    <mergeCell ref="C33:F33"/>
    <mergeCell ref="N33:P33"/>
    <mergeCell ref="H33:J33"/>
    <mergeCell ref="L35:M35"/>
    <mergeCell ref="N35:P35"/>
    <mergeCell ref="F3:G3"/>
    <mergeCell ref="D3:E3"/>
    <mergeCell ref="E1:G1"/>
    <mergeCell ref="J1:K1"/>
    <mergeCell ref="N1:P1"/>
    <mergeCell ref="L1:M1"/>
    <mergeCell ref="H1:I1"/>
    <mergeCell ref="B1:D1"/>
  </mergeCells>
  <printOptions horizontalCentered="1" verticalCentered="1"/>
  <pageMargins left="0.3" right="0.49" top="0.47" bottom="0.43" header="0.31496062992125984" footer="0.31496062992125984"/>
  <pageSetup scale="75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2022-10-28T05:17:55Z</cp:lastPrinted>
  <dcterms:created xsi:type="dcterms:W3CDTF">2022-10-23T14:03:38Z</dcterms:created>
  <dcterms:modified xsi:type="dcterms:W3CDTF">2022-10-28T05:20:04Z</dcterms:modified>
</cp:coreProperties>
</file>