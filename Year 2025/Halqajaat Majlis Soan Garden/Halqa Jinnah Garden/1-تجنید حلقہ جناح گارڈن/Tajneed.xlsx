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025" sheetId="1" r:id="rId5"/>
    <sheet state="visible" name="Email Address" sheetId="2" r:id="rId6"/>
  </sheets>
  <definedNames/>
  <calcPr/>
</workbook>
</file>

<file path=xl/sharedStrings.xml><?xml version="1.0" encoding="utf-8"?>
<sst xmlns="http://schemas.openxmlformats.org/spreadsheetml/2006/main" count="268" uniqueCount="120">
  <si>
    <t>Sr. No</t>
  </si>
  <si>
    <t>بلڈ گروپ</t>
  </si>
  <si>
    <t>پیشہ</t>
  </si>
  <si>
    <t xml:space="preserve">قرآن کریم </t>
  </si>
  <si>
    <t>نام رکن</t>
  </si>
  <si>
    <t>Email Address</t>
  </si>
  <si>
    <t xml:space="preserve">نماز </t>
  </si>
  <si>
    <t>Shoora Tajaweez</t>
  </si>
  <si>
    <t>Physical Address</t>
  </si>
  <si>
    <t>تعلیم</t>
  </si>
  <si>
    <t>انصار اللہ</t>
  </si>
  <si>
    <t>وصیت نمبر</t>
  </si>
  <si>
    <t>سن بیعت</t>
  </si>
  <si>
    <t>سن  پیدائش</t>
  </si>
  <si>
    <t>فون نمبر</t>
  </si>
  <si>
    <t xml:space="preserve">ولدیت  </t>
  </si>
  <si>
    <t xml:space="preserve">صف اول یا صف دوم </t>
  </si>
  <si>
    <t xml:space="preserve">تجنید نمبر  </t>
  </si>
  <si>
    <t>نمبر شمار</t>
  </si>
  <si>
    <t>ارسلان عزیز صاحب</t>
  </si>
  <si>
    <t>Arslan.Aziz.Malik@gmail.com</t>
  </si>
  <si>
    <t>A+</t>
  </si>
  <si>
    <t>Done</t>
  </si>
  <si>
    <t xml:space="preserve">ملازمت </t>
  </si>
  <si>
    <t>نہیں</t>
  </si>
  <si>
    <t xml:space="preserve">سادہ </t>
  </si>
  <si>
    <t xml:space="preserve">باترجمہ </t>
  </si>
  <si>
    <t>Know</t>
  </si>
  <si>
    <t>ماسٹرز</t>
  </si>
  <si>
    <t>پیدائشی احمدی</t>
  </si>
  <si>
    <t>0333 5102457</t>
  </si>
  <si>
    <t>ملک عبدالعزیز صاحب</t>
  </si>
  <si>
    <t>صف دوم</t>
  </si>
  <si>
    <t>B+</t>
  </si>
  <si>
    <t xml:space="preserve">ریٹاریڈ آفیسر  </t>
  </si>
  <si>
    <t>انٹرمیڈیٹ</t>
  </si>
  <si>
    <t>000040118</t>
  </si>
  <si>
    <t>0333 1701413
0333 1701413</t>
  </si>
  <si>
    <t>ملک عبدالرحمٰن صاحب</t>
  </si>
  <si>
    <t>صف اول</t>
  </si>
  <si>
    <t>AB+</t>
  </si>
  <si>
    <t>انوار بخاری صاحب</t>
  </si>
  <si>
    <t>بیچلر</t>
  </si>
  <si>
    <t>0333 5184801</t>
  </si>
  <si>
    <t>سید سردار شاہ صاحب</t>
  </si>
  <si>
    <t>https://maps.app.goo.gl/fYtRWTzEhd44MzuU9</t>
  </si>
  <si>
    <t>کاروبار</t>
  </si>
  <si>
    <t>000112252</t>
  </si>
  <si>
    <t>0332 5410332</t>
  </si>
  <si>
    <t>چوہدری محمد دین صاحب</t>
  </si>
  <si>
    <t>چوہدری مناظر احمد صاحب</t>
  </si>
  <si>
    <t>000054181</t>
  </si>
  <si>
    <t>0300 8504556</t>
  </si>
  <si>
    <t>حفیظ احمد منصور صاحب</t>
  </si>
  <si>
    <t>رفیق احمد وڑائچ صاحب</t>
  </si>
  <si>
    <t xml:space="preserve">کاروبار </t>
  </si>
  <si>
    <t>چوہدری مناضر احمد صاحب</t>
  </si>
  <si>
    <t>ڈپلومہ</t>
  </si>
  <si>
    <t xml:space="preserve">Street 11 </t>
  </si>
  <si>
    <t>000078841</t>
  </si>
  <si>
    <t>رفیق احمد وڑایچ صاحب</t>
  </si>
  <si>
    <t>warriech@gmail.com</t>
  </si>
  <si>
    <t>0345 5860760
0308 5860760</t>
  </si>
  <si>
    <t>بشیر احمد صاحب</t>
  </si>
  <si>
    <t>زاہد تنویر صاحب</t>
  </si>
  <si>
    <t>zatwarraich@gmail.com</t>
  </si>
  <si>
    <t>عبدالقیوم قریشی صاحب</t>
  </si>
  <si>
    <t>oneandonly_aq@yahoo.com</t>
  </si>
  <si>
    <t>فاروق احمد صاحب</t>
  </si>
  <si>
    <t>محمد احسن ظفر صاحب</t>
  </si>
  <si>
    <t>mahsanzafar@gmail.com</t>
  </si>
  <si>
    <t>0334 9888000</t>
  </si>
  <si>
    <t>عبدالحی صاحب</t>
  </si>
  <si>
    <t>https://maps.app.goo.gl/qafb1uz4MxmLriz3A?g_st=iw</t>
  </si>
  <si>
    <t>O+</t>
  </si>
  <si>
    <t>000080612</t>
  </si>
  <si>
    <t>0333 5175663</t>
  </si>
  <si>
    <t>حبیب احمد صاحب</t>
  </si>
  <si>
    <t>B-</t>
  </si>
  <si>
    <t>0321 5305204</t>
  </si>
  <si>
    <t>محمد صادق ظفر صاحب</t>
  </si>
  <si>
    <t>0345 5096156</t>
  </si>
  <si>
    <t>مرزا عبدالوحید صاحب</t>
  </si>
  <si>
    <t>مرزا عبدالرزاق صاحب</t>
  </si>
  <si>
    <t>raheeltariq660@gmail.com</t>
  </si>
  <si>
    <t>Street No 65</t>
  </si>
  <si>
    <t>بیچلر(انجنیر)</t>
  </si>
  <si>
    <t>000026357</t>
  </si>
  <si>
    <t>منور احمد صاحب</t>
  </si>
  <si>
    <t>munawarhamayoon@gmail.com</t>
  </si>
  <si>
    <t>0321 5051775</t>
  </si>
  <si>
    <t>ناصر احمد ورک صاحب</t>
  </si>
  <si>
    <t>nasirvirk22@gmail.com</t>
  </si>
  <si>
    <t>عبدالمنان صاحب</t>
  </si>
  <si>
    <t>https://www.google.com/maps?q=33.5692917,73.1758283</t>
  </si>
  <si>
    <t>0334 4564416</t>
  </si>
  <si>
    <t>عبداواحد ورک صاحب</t>
  </si>
  <si>
    <t>000045886</t>
  </si>
  <si>
    <t>0334 5083601</t>
  </si>
  <si>
    <t>نصراللہ حشام صاحب</t>
  </si>
  <si>
    <t>چوہدری ظفراحمد صاحب</t>
  </si>
  <si>
    <t xml:space="preserve">نصراللہ حشام صاحب </t>
  </si>
  <si>
    <t>nshasham@gmail.com</t>
  </si>
  <si>
    <t>https://maps.app.goo.gl/at16HYXdh1mLvWQa7</t>
  </si>
  <si>
    <t>0331 8219911</t>
  </si>
  <si>
    <t>قمر الاسلام صاحب</t>
  </si>
  <si>
    <t>فیصل قمر صاحب</t>
  </si>
  <si>
    <t>میٹرک</t>
  </si>
  <si>
    <t>0330 2864848</t>
  </si>
  <si>
    <t>میاں مراد بخش صاحب</t>
  </si>
  <si>
    <t>غلام محمد صاحب</t>
  </si>
  <si>
    <t>faisalqamar07@yahoo.com</t>
  </si>
  <si>
    <t>house 56 st 212</t>
  </si>
  <si>
    <t xml:space="preserve"> نہیں </t>
  </si>
  <si>
    <t xml:space="preserve">سادہ  </t>
  </si>
  <si>
    <t xml:space="preserve">باترجمہ  </t>
  </si>
  <si>
    <t>BA</t>
  </si>
  <si>
    <t>0336 5645518</t>
  </si>
  <si>
    <t>محمد حنیف صاحب</t>
  </si>
  <si>
    <t>تنویر احمد صاحب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</si>
</sst>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[$-409]d\-mmm\-yy"/>
  </numFmts>
  <fonts count="14">
    <font>
      <sz val="10.0"/>
      <color rgb="FF000000"/>
      <name val="Arial"/>
      <scheme val="minor"/>
    </font>
    <font>
      <b/>
      <sz val="14.0"/>
      <color theme="1"/>
      <name val="Noto Nastaliq Urdu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/>
    <font>
      <b/>
      <sz val="17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</font>
    <font>
      <sz val="13.0"/>
      <color theme="1"/>
      <name val="Arial"/>
      <scheme val="minor"/>
    </font>
    <font>
      <sz val="14.0"/>
      <color theme="1"/>
      <name val="Arial"/>
    </font>
    <font>
      <sz val="14.0"/>
      <color theme="1"/>
      <name val="Noto Nastaliq Urdu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/>
    </xf>
    <xf borderId="3" fillId="0" fontId="4" numFmtId="0" xfId="0" applyBorder="1" applyFont="1"/>
    <xf borderId="1" fillId="0" fontId="3" numFmtId="0" xfId="0" applyAlignment="1" applyBorder="1" applyFont="1">
      <alignment readingOrder="0" vertical="center"/>
    </xf>
    <xf borderId="1" fillId="0" fontId="1" numFmtId="164" xfId="0" applyAlignment="1" applyBorder="1" applyFont="1" applyNumberFormat="1">
      <alignment horizontal="center" vertical="center"/>
    </xf>
    <xf borderId="2" fillId="2" fontId="5" numFmtId="0" xfId="0" applyAlignment="1" applyBorder="1" applyFill="1" applyFont="1">
      <alignment horizontal="center" readingOrder="0"/>
    </xf>
    <xf borderId="4" fillId="0" fontId="4" numFmtId="0" xfId="0" applyBorder="1" applyFont="1"/>
    <xf borderId="1" fillId="0" fontId="1" numFmtId="0" xfId="0" applyAlignment="1" applyBorder="1" applyFont="1">
      <alignment horizontal="right" vertical="center"/>
    </xf>
    <xf borderId="1" fillId="2" fontId="6" numFmtId="0" xfId="0" applyAlignment="1" applyBorder="1" applyFill="1" applyFont="1">
      <alignment horizontal="right" readingOrder="0"/>
    </xf>
    <xf borderId="1" fillId="2" fontId="1" numFmtId="0" xfId="0" applyAlignment="1" applyBorder="1" applyFill="1" applyFont="1">
      <alignment horizontal="right" vertical="center"/>
    </xf>
    <xf borderId="0" fillId="0" fontId="7" numFmtId="0" xfId="0" applyAlignment="1" applyFont="1">
      <alignment vertical="center"/>
    </xf>
    <xf borderId="1" fillId="2" fontId="6" numFmtId="0" xfId="0" applyAlignment="1" applyBorder="1" applyFill="1" applyFont="1">
      <alignment horizontal="right" readingOrder="0"/>
    </xf>
    <xf borderId="1" fillId="0" fontId="8" numFmtId="0" xfId="0" applyAlignment="1" applyBorder="1" applyFont="1">
      <alignment readingOrder="0"/>
    </xf>
    <xf borderId="1" fillId="2" fontId="9" numFmtId="0" xfId="0" applyAlignment="1" applyBorder="1" applyFill="1" applyFont="1">
      <alignment horizontal="center" vertical="center"/>
    </xf>
    <xf borderId="1" fillId="2" fontId="10" numFmtId="0" xfId="0" applyAlignment="1" applyBorder="1" applyFill="1" applyFont="1">
      <alignment horizontal="center" vertical="center"/>
    </xf>
    <xf borderId="1" fillId="3" fontId="11" numFmtId="0" xfId="0" applyAlignment="1" applyBorder="1" applyFill="1" applyFont="1">
      <alignment horizontal="center" readingOrder="0" vertical="center"/>
    </xf>
    <xf borderId="1" fillId="0" fontId="11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1" fillId="2" fontId="9" numFmtId="164" xfId="0" applyAlignment="1" applyBorder="1" applyFill="1" applyFont="1" applyNumberFormat="1">
      <alignment horizontal="center" vertical="center"/>
    </xf>
    <xf borderId="1" fillId="2" fontId="9" numFmtId="165" xfId="0" applyAlignment="1" applyBorder="1" applyFill="1" applyFont="1" applyNumberFormat="1">
      <alignment horizontal="center" vertical="center"/>
    </xf>
    <xf borderId="1" fillId="0" fontId="9" numFmtId="0" xfId="0" applyAlignment="1" applyBorder="1" applyFont="1">
      <alignment vertical="center"/>
    </xf>
    <xf borderId="1" fillId="2" fontId="10" numFmtId="0" xfId="0" applyAlignment="1" applyBorder="1" applyFill="1" applyFont="1">
      <alignment horizontal="right" vertical="center"/>
    </xf>
    <xf borderId="1" fillId="2" fontId="9" numFmtId="0" xfId="0" applyAlignment="1" applyBorder="1" applyFill="1" applyFont="1">
      <alignment horizontal="center" readingOrder="0" vertical="center"/>
    </xf>
    <xf quotePrefix="1" borderId="1" fillId="2" fontId="9" numFmtId="164" xfId="0" applyAlignment="1" applyBorder="1" applyFill="1" applyFont="1" applyNumberFormat="1">
      <alignment horizontal="center" vertical="center"/>
    </xf>
    <xf borderId="1" fillId="0" fontId="8" numFmtId="0" xfId="0" applyBorder="1" applyFont="1"/>
    <xf borderId="0" fillId="2" fontId="6" numFmtId="0" xfId="0" applyAlignment="1" applyFill="1" applyFont="1">
      <alignment horizontal="right" readingOrder="0"/>
    </xf>
    <xf borderId="0" fillId="0" fontId="11" numFmtId="0" xfId="0" applyAlignment="1" applyFont="1">
      <alignment readingOrder="0"/>
    </xf>
    <xf borderId="1" fillId="0" fontId="11" numFmtId="0" xfId="0" applyBorder="1" applyFont="1"/>
    <xf quotePrefix="1" borderId="1" fillId="2" fontId="9" numFmtId="0" xfId="0" applyAlignment="1" applyBorder="1" applyFill="1" applyFont="1">
      <alignment vertical="center"/>
    </xf>
    <xf borderId="1" fillId="2" fontId="10" numFmtId="0" xfId="0" applyAlignment="1" applyBorder="1" applyFill="1" applyFont="1">
      <alignment horizontal="right" readingOrder="0" vertical="center"/>
    </xf>
    <xf borderId="1" fillId="0" fontId="12" numFmtId="0" xfId="0" applyAlignment="1" applyBorder="1" applyFont="1">
      <alignment readingOrder="0"/>
    </xf>
    <xf quotePrefix="1" borderId="1" fillId="2" fontId="9" numFmtId="0" xfId="0" applyAlignment="1" applyBorder="1" applyFill="1" applyFont="1">
      <alignment horizontal="center" vertical="center"/>
    </xf>
    <xf borderId="1" fillId="2" fontId="7" numFmtId="164" xfId="0" applyAlignment="1" applyBorder="1" applyFill="1" applyFont="1" applyNumberFormat="1">
      <alignment vertical="center"/>
    </xf>
    <xf borderId="1" fillId="0" fontId="13" numFmtId="0" xfId="0" applyAlignment="1" applyBorder="1" applyFont="1">
      <alignment readingOrder="0"/>
    </xf>
    <xf borderId="1" fillId="2" fontId="9" numFmtId="0" xfId="0" applyAlignment="1" applyBorder="1" applyFill="1" applyFont="1">
      <alignment horizontal="right" vertical="center"/>
    </xf>
    <xf borderId="1" fillId="2" fontId="9" numFmtId="0" xfId="0" applyAlignment="1" applyBorder="1" applyFill="1" applyFont="1">
      <alignment vertical="center"/>
    </xf>
    <xf borderId="1" fillId="2" fontId="6" numFmtId="0" xfId="0" applyAlignment="1" applyBorder="1" applyFill="1" applyFont="1">
      <alignment horizontal="right"/>
    </xf>
    <xf borderId="0" fillId="2" fontId="6" numFmtId="0" xfId="0" applyAlignment="1" applyFill="1" applyFont="1">
      <alignment readingOrder="0"/>
    </xf>
    <xf borderId="1" fillId="2" fontId="6" numFmtId="0" xfId="0" applyAlignment="1" applyBorder="1" applyFill="1" applyFont="1">
      <alignment readingOrder="0"/>
    </xf>
    <xf borderId="0" fillId="0" fontId="8" numFmtId="0" xfId="0" applyFont="1"/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vertical="bottom"/>
    </xf>
    <xf borderId="0" fillId="0" fontId="7" numFmtId="165" xfId="0" applyAlignment="1" applyFont="1" applyNumberFormat="1">
      <alignment vertical="bottom"/>
    </xf>
    <xf borderId="0" fillId="2" fontId="7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fYtRWTzEhd44MzuU9" TargetMode="External"/><Relationship Id="rId2" Type="http://schemas.openxmlformats.org/officeDocument/2006/relationships/hyperlink" Target="https://maps.app.goo.gl/qafb1uz4MxmLriz3A?g_st=iw" TargetMode="External"/><Relationship Id="rId3" Type="http://schemas.openxmlformats.org/officeDocument/2006/relationships/hyperlink" Target="https://www.google.com/maps?q=33.5692917,73.1758283" TargetMode="External"/><Relationship Id="rId4" Type="http://schemas.openxmlformats.org/officeDocument/2006/relationships/hyperlink" Target="https://maps.app.goo.gl/at16HYXdh1mLvWQa7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0.63"/>
    <col customWidth="1" min="7" max="7" width="17.88"/>
    <col customWidth="1" min="8" max="8" width="13.38"/>
    <col customWidth="1" min="9" max="9" width="12.5"/>
    <col customWidth="1" min="11" max="11" width="15.88"/>
    <col customWidth="1" min="12" max="12" width="29.75"/>
    <col customWidth="1" min="13" max="13" width="20.88"/>
    <col customWidth="1" min="14" max="14" width="27.38"/>
  </cols>
  <sheetData>
    <row r="1" ht="63.75" customHeight="1">
      <c r="A1" s="1" t="s">
        <v>1</v>
      </c>
      <c r="B1" s="1" t="s">
        <v>2</v>
      </c>
      <c r="C1" s="4" t="s">
        <v>3</v>
      </c>
      <c r="D1" s="6"/>
      <c r="E1" s="4" t="s">
        <v>6</v>
      </c>
      <c r="F1" s="6"/>
      <c r="G1" s="1" t="s">
        <v>9</v>
      </c>
      <c r="H1" s="8" t="s">
        <v>11</v>
      </c>
      <c r="I1" s="1" t="s">
        <v>12</v>
      </c>
      <c r="J1" s="1" t="s">
        <v>13</v>
      </c>
      <c r="K1" s="1" t="s">
        <v>14</v>
      </c>
      <c r="L1" s="11" t="s">
        <v>15</v>
      </c>
      <c r="M1" s="1" t="s">
        <v>16</v>
      </c>
      <c r="N1" s="13" t="s">
        <v>4</v>
      </c>
      <c r="O1" s="1" t="s">
        <v>17</v>
      </c>
      <c r="P1" s="1" t="s">
        <v>18</v>
      </c>
      <c r="Q1" s="14"/>
      <c r="R1" s="14"/>
    </row>
    <row r="2" ht="63.75" customHeight="1">
      <c r="A2" s="17" t="s">
        <v>21</v>
      </c>
      <c r="B2" s="18" t="s">
        <v>23</v>
      </c>
      <c r="C2" s="18" t="s">
        <v>24</v>
      </c>
      <c r="D2" s="18" t="s">
        <v>25</v>
      </c>
      <c r="E2" s="18" t="s">
        <v>26</v>
      </c>
      <c r="F2" s="18" t="s">
        <v>25</v>
      </c>
      <c r="G2" s="18" t="s">
        <v>28</v>
      </c>
      <c r="H2" s="22">
        <v>0.0</v>
      </c>
      <c r="I2" s="18" t="s">
        <v>29</v>
      </c>
      <c r="J2" s="23">
        <v>29102.0</v>
      </c>
      <c r="K2" s="24" t="s">
        <v>30</v>
      </c>
      <c r="L2" s="25" t="s">
        <v>31</v>
      </c>
      <c r="M2" s="18" t="s">
        <v>32</v>
      </c>
      <c r="N2" s="25" t="s">
        <v>19</v>
      </c>
      <c r="O2" s="17">
        <v>697263.0</v>
      </c>
      <c r="P2" s="26">
        <v>1.0</v>
      </c>
      <c r="Q2" s="14"/>
      <c r="R2" s="14"/>
    </row>
    <row r="3" ht="63.75" customHeight="1">
      <c r="A3" s="17" t="s">
        <v>33</v>
      </c>
      <c r="B3" s="18" t="s">
        <v>34</v>
      </c>
      <c r="C3" s="18" t="s">
        <v>26</v>
      </c>
      <c r="D3" s="18" t="s">
        <v>25</v>
      </c>
      <c r="E3" s="18" t="s">
        <v>26</v>
      </c>
      <c r="F3" s="18" t="s">
        <v>25</v>
      </c>
      <c r="G3" s="18" t="s">
        <v>35</v>
      </c>
      <c r="H3" s="27" t="s">
        <v>36</v>
      </c>
      <c r="I3" s="18" t="s">
        <v>29</v>
      </c>
      <c r="J3" s="23">
        <v>17036.0</v>
      </c>
      <c r="K3" s="24" t="s">
        <v>37</v>
      </c>
      <c r="L3" s="25" t="s">
        <v>38</v>
      </c>
      <c r="M3" s="18" t="s">
        <v>39</v>
      </c>
      <c r="N3" s="25" t="s">
        <v>31</v>
      </c>
      <c r="O3" s="17">
        <v>633202.0</v>
      </c>
      <c r="P3" s="17">
        <f t="shared" ref="P3:P17" si="1">P2+1</f>
        <v>2</v>
      </c>
      <c r="Q3" s="14"/>
      <c r="R3" s="14"/>
    </row>
    <row r="4" ht="63.75" customHeight="1">
      <c r="A4" s="17" t="s">
        <v>40</v>
      </c>
      <c r="B4" s="18" t="s">
        <v>34</v>
      </c>
      <c r="C4" s="18" t="s">
        <v>24</v>
      </c>
      <c r="D4" s="18" t="s">
        <v>25</v>
      </c>
      <c r="E4" s="18" t="s">
        <v>26</v>
      </c>
      <c r="F4" s="18" t="s">
        <v>25</v>
      </c>
      <c r="G4" s="18" t="s">
        <v>42</v>
      </c>
      <c r="H4" s="22">
        <v>0.0</v>
      </c>
      <c r="I4" s="18" t="s">
        <v>29</v>
      </c>
      <c r="J4" s="23">
        <v>19489.0</v>
      </c>
      <c r="K4" s="24" t="s">
        <v>43</v>
      </c>
      <c r="L4" s="25" t="s">
        <v>44</v>
      </c>
      <c r="M4" s="18" t="s">
        <v>39</v>
      </c>
      <c r="N4" s="25" t="s">
        <v>41</v>
      </c>
      <c r="O4" s="17">
        <v>690594.0</v>
      </c>
      <c r="P4" s="17">
        <f t="shared" si="1"/>
        <v>3</v>
      </c>
      <c r="Q4" s="14"/>
      <c r="R4" s="14"/>
    </row>
    <row r="5" ht="63.75" customHeight="1">
      <c r="A5" s="17" t="s">
        <v>33</v>
      </c>
      <c r="B5" s="18" t="s">
        <v>46</v>
      </c>
      <c r="C5" s="18" t="s">
        <v>24</v>
      </c>
      <c r="D5" s="18" t="s">
        <v>25</v>
      </c>
      <c r="E5" s="18" t="s">
        <v>26</v>
      </c>
      <c r="F5" s="18" t="s">
        <v>25</v>
      </c>
      <c r="G5" s="18" t="s">
        <v>42</v>
      </c>
      <c r="H5" s="27" t="s">
        <v>47</v>
      </c>
      <c r="I5" s="18" t="s">
        <v>29</v>
      </c>
      <c r="J5" s="23">
        <v>21596.0</v>
      </c>
      <c r="K5" s="24" t="s">
        <v>48</v>
      </c>
      <c r="L5" s="25" t="s">
        <v>49</v>
      </c>
      <c r="M5" s="18" t="s">
        <v>39</v>
      </c>
      <c r="N5" s="25" t="s">
        <v>50</v>
      </c>
      <c r="O5" s="17">
        <v>600898.0</v>
      </c>
      <c r="P5" s="17">
        <f t="shared" si="1"/>
        <v>4</v>
      </c>
      <c r="Q5" s="14"/>
      <c r="R5" s="14"/>
    </row>
    <row r="6" ht="63.75" customHeight="1">
      <c r="A6" s="17" t="s">
        <v>33</v>
      </c>
      <c r="B6" s="18" t="s">
        <v>23</v>
      </c>
      <c r="C6" s="18" t="s">
        <v>24</v>
      </c>
      <c r="D6" s="18" t="s">
        <v>25</v>
      </c>
      <c r="E6" s="18" t="s">
        <v>26</v>
      </c>
      <c r="F6" s="18" t="s">
        <v>25</v>
      </c>
      <c r="G6" s="18" t="s">
        <v>28</v>
      </c>
      <c r="H6" s="32" t="s">
        <v>51</v>
      </c>
      <c r="I6" s="18" t="s">
        <v>29</v>
      </c>
      <c r="J6" s="23">
        <v>26988.0</v>
      </c>
      <c r="K6" s="24" t="s">
        <v>52</v>
      </c>
      <c r="L6" s="25" t="s">
        <v>53</v>
      </c>
      <c r="M6" s="18" t="s">
        <v>32</v>
      </c>
      <c r="N6" s="33" t="s">
        <v>54</v>
      </c>
      <c r="O6" s="17">
        <v>629430.0</v>
      </c>
      <c r="P6" s="17">
        <f t="shared" si="1"/>
        <v>5</v>
      </c>
      <c r="Q6" s="14"/>
      <c r="R6" s="14"/>
    </row>
    <row r="7" ht="63.75" customHeight="1">
      <c r="A7" s="17" t="s">
        <v>33</v>
      </c>
      <c r="B7" s="18" t="s">
        <v>55</v>
      </c>
      <c r="C7" s="18" t="s">
        <v>24</v>
      </c>
      <c r="D7" s="18" t="s">
        <v>25</v>
      </c>
      <c r="E7" s="18" t="s">
        <v>26</v>
      </c>
      <c r="F7" s="18" t="s">
        <v>25</v>
      </c>
      <c r="G7" s="18" t="s">
        <v>57</v>
      </c>
      <c r="H7" s="35" t="s">
        <v>59</v>
      </c>
      <c r="I7" s="18" t="s">
        <v>29</v>
      </c>
      <c r="J7" s="23">
        <v>29319.0</v>
      </c>
      <c r="K7" s="24" t="s">
        <v>62</v>
      </c>
      <c r="L7" s="25" t="s">
        <v>63</v>
      </c>
      <c r="M7" s="18" t="s">
        <v>32</v>
      </c>
      <c r="N7" s="25" t="s">
        <v>64</v>
      </c>
      <c r="O7" s="17">
        <v>73236.0</v>
      </c>
      <c r="P7" s="17">
        <f t="shared" si="1"/>
        <v>6</v>
      </c>
      <c r="Q7" s="14"/>
      <c r="R7" s="14"/>
    </row>
    <row r="8" ht="63.75" customHeight="1">
      <c r="A8" s="17" t="s">
        <v>40</v>
      </c>
      <c r="B8" s="18" t="s">
        <v>23</v>
      </c>
      <c r="C8" s="18" t="s">
        <v>24</v>
      </c>
      <c r="D8" s="18" t="s">
        <v>25</v>
      </c>
      <c r="E8" s="18" t="s">
        <v>26</v>
      </c>
      <c r="F8" s="18" t="s">
        <v>25</v>
      </c>
      <c r="G8" s="18" t="s">
        <v>28</v>
      </c>
      <c r="H8" s="36"/>
      <c r="I8" s="18" t="s">
        <v>29</v>
      </c>
      <c r="J8" s="23">
        <v>29895.0</v>
      </c>
      <c r="K8" s="24" t="s">
        <v>71</v>
      </c>
      <c r="L8" s="25" t="s">
        <v>72</v>
      </c>
      <c r="M8" s="18" t="s">
        <v>32</v>
      </c>
      <c r="N8" s="25" t="s">
        <v>66</v>
      </c>
      <c r="O8" s="17">
        <v>698781.0</v>
      </c>
      <c r="P8" s="17">
        <f t="shared" si="1"/>
        <v>7</v>
      </c>
      <c r="Q8" s="14"/>
      <c r="R8" s="14"/>
    </row>
    <row r="9" ht="63.75" customHeight="1">
      <c r="A9" s="17" t="s">
        <v>74</v>
      </c>
      <c r="B9" s="18" t="s">
        <v>34</v>
      </c>
      <c r="C9" s="18" t="s">
        <v>24</v>
      </c>
      <c r="D9" s="18" t="s">
        <v>25</v>
      </c>
      <c r="E9" s="18" t="s">
        <v>26</v>
      </c>
      <c r="F9" s="18" t="s">
        <v>25</v>
      </c>
      <c r="G9" s="18" t="s">
        <v>42</v>
      </c>
      <c r="H9" s="27" t="s">
        <v>75</v>
      </c>
      <c r="I9" s="18" t="s">
        <v>29</v>
      </c>
      <c r="J9" s="23">
        <v>21551.0</v>
      </c>
      <c r="K9" s="24" t="s">
        <v>76</v>
      </c>
      <c r="L9" s="25" t="s">
        <v>77</v>
      </c>
      <c r="M9" s="18" t="s">
        <v>39</v>
      </c>
      <c r="N9" s="25" t="s">
        <v>68</v>
      </c>
      <c r="O9" s="17">
        <v>697260.0</v>
      </c>
      <c r="P9" s="17">
        <f t="shared" si="1"/>
        <v>8</v>
      </c>
      <c r="Q9" s="14"/>
      <c r="R9" s="14"/>
    </row>
    <row r="10" ht="63.75" customHeight="1">
      <c r="A10" s="17" t="s">
        <v>78</v>
      </c>
      <c r="B10" s="18" t="s">
        <v>23</v>
      </c>
      <c r="C10" s="18" t="s">
        <v>24</v>
      </c>
      <c r="D10" s="18" t="s">
        <v>25</v>
      </c>
      <c r="E10" s="18" t="s">
        <v>26</v>
      </c>
      <c r="F10" s="18" t="s">
        <v>25</v>
      </c>
      <c r="G10" s="18" t="s">
        <v>28</v>
      </c>
      <c r="H10" s="36"/>
      <c r="I10" s="18" t="s">
        <v>29</v>
      </c>
      <c r="J10" s="23">
        <v>27784.0</v>
      </c>
      <c r="K10" s="24" t="s">
        <v>79</v>
      </c>
      <c r="L10" s="25" t="s">
        <v>80</v>
      </c>
      <c r="M10" s="18" t="s">
        <v>32</v>
      </c>
      <c r="N10" s="25" t="s">
        <v>69</v>
      </c>
      <c r="O10" s="17">
        <v>697262.0</v>
      </c>
      <c r="P10" s="17">
        <f t="shared" si="1"/>
        <v>9</v>
      </c>
      <c r="Q10" s="14"/>
      <c r="R10" s="14"/>
    </row>
    <row r="11" ht="63.75" customHeight="1">
      <c r="A11" s="17" t="s">
        <v>74</v>
      </c>
      <c r="B11" s="18" t="s">
        <v>34</v>
      </c>
      <c r="C11" s="18" t="s">
        <v>24</v>
      </c>
      <c r="D11" s="18" t="s">
        <v>25</v>
      </c>
      <c r="E11" s="18" t="s">
        <v>26</v>
      </c>
      <c r="F11" s="18" t="s">
        <v>25</v>
      </c>
      <c r="G11" s="18" t="s">
        <v>42</v>
      </c>
      <c r="H11" s="36"/>
      <c r="I11" s="18" t="s">
        <v>29</v>
      </c>
      <c r="J11" s="23">
        <v>19299.0</v>
      </c>
      <c r="K11" s="24" t="s">
        <v>81</v>
      </c>
      <c r="L11" s="25" t="s">
        <v>82</v>
      </c>
      <c r="M11" s="18" t="s">
        <v>39</v>
      </c>
      <c r="N11" s="25" t="s">
        <v>83</v>
      </c>
      <c r="O11" s="17">
        <v>629414.0</v>
      </c>
      <c r="P11" s="17">
        <f t="shared" si="1"/>
        <v>10</v>
      </c>
      <c r="Q11" s="14"/>
      <c r="R11" s="14"/>
    </row>
    <row r="12" ht="63.75" customHeight="1">
      <c r="A12" s="17" t="s">
        <v>21</v>
      </c>
      <c r="B12" s="18" t="s">
        <v>23</v>
      </c>
      <c r="C12" s="18" t="s">
        <v>26</v>
      </c>
      <c r="D12" s="18" t="s">
        <v>25</v>
      </c>
      <c r="E12" s="18" t="s">
        <v>26</v>
      </c>
      <c r="F12" s="18" t="s">
        <v>25</v>
      </c>
      <c r="G12" s="18" t="s">
        <v>86</v>
      </c>
      <c r="H12" s="35" t="s">
        <v>87</v>
      </c>
      <c r="I12" s="18" t="s">
        <v>29</v>
      </c>
      <c r="J12" s="23">
        <v>22526.0</v>
      </c>
      <c r="K12" s="38" t="s">
        <v>90</v>
      </c>
      <c r="L12" s="25" t="s">
        <v>93</v>
      </c>
      <c r="M12" s="18" t="s">
        <v>39</v>
      </c>
      <c r="N12" s="25" t="s">
        <v>88</v>
      </c>
      <c r="O12" s="17">
        <v>626872.0</v>
      </c>
      <c r="P12" s="17">
        <f t="shared" si="1"/>
        <v>11</v>
      </c>
      <c r="Q12" s="14"/>
      <c r="R12" s="14"/>
    </row>
    <row r="13" ht="63.75" customHeight="1">
      <c r="A13" s="17" t="s">
        <v>74</v>
      </c>
      <c r="B13" s="18" t="s">
        <v>34</v>
      </c>
      <c r="C13" s="18" t="s">
        <v>24</v>
      </c>
      <c r="D13" s="18" t="s">
        <v>25</v>
      </c>
      <c r="E13" s="18" t="s">
        <v>26</v>
      </c>
      <c r="F13" s="18" t="s">
        <v>25</v>
      </c>
      <c r="G13" s="18" t="s">
        <v>42</v>
      </c>
      <c r="H13" s="36"/>
      <c r="I13" s="18" t="s">
        <v>29</v>
      </c>
      <c r="J13" s="23">
        <v>27546.0</v>
      </c>
      <c r="K13" s="38" t="s">
        <v>95</v>
      </c>
      <c r="L13" s="25" t="s">
        <v>96</v>
      </c>
      <c r="M13" s="18" t="s">
        <v>32</v>
      </c>
      <c r="N13" s="25" t="s">
        <v>91</v>
      </c>
      <c r="O13" s="17">
        <v>696346.0</v>
      </c>
      <c r="P13" s="17">
        <f t="shared" si="1"/>
        <v>12</v>
      </c>
      <c r="Q13" s="14"/>
      <c r="R13" s="14"/>
    </row>
    <row r="14" ht="63.75" customHeight="1">
      <c r="A14" s="17" t="s">
        <v>74</v>
      </c>
      <c r="B14" s="18" t="s">
        <v>23</v>
      </c>
      <c r="C14" s="18" t="s">
        <v>24</v>
      </c>
      <c r="D14" s="18" t="s">
        <v>25</v>
      </c>
      <c r="E14" s="18" t="s">
        <v>26</v>
      </c>
      <c r="F14" s="18" t="s">
        <v>25</v>
      </c>
      <c r="G14" s="18" t="s">
        <v>28</v>
      </c>
      <c r="H14" s="35" t="s">
        <v>97</v>
      </c>
      <c r="I14" s="18" t="s">
        <v>29</v>
      </c>
      <c r="J14" s="23">
        <v>26511.0</v>
      </c>
      <c r="K14" s="39" t="s">
        <v>98</v>
      </c>
      <c r="L14" s="25" t="s">
        <v>100</v>
      </c>
      <c r="M14" s="18" t="s">
        <v>32</v>
      </c>
      <c r="N14" s="25" t="s">
        <v>101</v>
      </c>
      <c r="O14" s="17">
        <v>626847.0</v>
      </c>
      <c r="P14" s="17">
        <f t="shared" si="1"/>
        <v>13</v>
      </c>
      <c r="Q14" s="14"/>
      <c r="R14" s="14"/>
    </row>
    <row r="15" ht="63.75" customHeight="1">
      <c r="A15" s="17" t="s">
        <v>74</v>
      </c>
      <c r="B15" s="18" t="s">
        <v>55</v>
      </c>
      <c r="C15" s="18" t="s">
        <v>24</v>
      </c>
      <c r="D15" s="18" t="s">
        <v>25</v>
      </c>
      <c r="E15" s="18" t="s">
        <v>26</v>
      </c>
      <c r="F15" s="18" t="s">
        <v>25</v>
      </c>
      <c r="G15" s="18" t="s">
        <v>42</v>
      </c>
      <c r="H15" s="36"/>
      <c r="I15" s="18" t="s">
        <v>29</v>
      </c>
      <c r="J15" s="23">
        <v>25571.0</v>
      </c>
      <c r="K15" s="39" t="s">
        <v>104</v>
      </c>
      <c r="L15" s="25" t="s">
        <v>105</v>
      </c>
      <c r="M15" s="18" t="s">
        <v>32</v>
      </c>
      <c r="N15" s="25" t="s">
        <v>106</v>
      </c>
      <c r="O15" s="17">
        <v>700623.0</v>
      </c>
      <c r="P15" s="17">
        <f t="shared" si="1"/>
        <v>14</v>
      </c>
      <c r="Q15" s="14"/>
      <c r="R15" s="14"/>
    </row>
    <row r="16" ht="63.75" customHeight="1">
      <c r="A16" s="17" t="s">
        <v>33</v>
      </c>
      <c r="B16" s="18" t="s">
        <v>34</v>
      </c>
      <c r="C16" s="18" t="s">
        <v>24</v>
      </c>
      <c r="D16" s="18" t="s">
        <v>25</v>
      </c>
      <c r="E16" s="18" t="s">
        <v>26</v>
      </c>
      <c r="F16" s="18" t="s">
        <v>25</v>
      </c>
      <c r="G16" s="18" t="s">
        <v>107</v>
      </c>
      <c r="H16" s="18" t="s">
        <v>24</v>
      </c>
      <c r="I16" s="18" t="s">
        <v>29</v>
      </c>
      <c r="J16" s="23">
        <v>22922.0</v>
      </c>
      <c r="K16" s="24" t="s">
        <v>108</v>
      </c>
      <c r="L16" s="25" t="s">
        <v>109</v>
      </c>
      <c r="M16" s="18" t="s">
        <v>39</v>
      </c>
      <c r="N16" s="25" t="s">
        <v>110</v>
      </c>
      <c r="O16" s="17">
        <v>694921.0</v>
      </c>
      <c r="P16" s="17">
        <f t="shared" si="1"/>
        <v>15</v>
      </c>
      <c r="Q16" s="14"/>
      <c r="R16" s="14"/>
    </row>
    <row r="17" ht="63.75" customHeight="1">
      <c r="A17" s="17" t="s">
        <v>33</v>
      </c>
      <c r="B17" s="18" t="s">
        <v>34</v>
      </c>
      <c r="C17" s="18" t="s">
        <v>113</v>
      </c>
      <c r="D17" s="18" t="s">
        <v>114</v>
      </c>
      <c r="E17" s="18" t="s">
        <v>115</v>
      </c>
      <c r="F17" s="18" t="s">
        <v>25</v>
      </c>
      <c r="G17" s="18" t="s">
        <v>116</v>
      </c>
      <c r="H17" s="18" t="s">
        <v>24</v>
      </c>
      <c r="I17" s="18" t="s">
        <v>29</v>
      </c>
      <c r="J17" s="23">
        <v>18272.0</v>
      </c>
      <c r="K17" s="24" t="s">
        <v>117</v>
      </c>
      <c r="L17" s="25" t="s">
        <v>118</v>
      </c>
      <c r="M17" s="18" t="s">
        <v>39</v>
      </c>
      <c r="N17" s="25" t="s">
        <v>119</v>
      </c>
      <c r="O17" s="17">
        <v>702392.0</v>
      </c>
      <c r="P17" s="17">
        <f t="shared" si="1"/>
        <v>16</v>
      </c>
      <c r="Q17" s="14"/>
      <c r="R17" s="14"/>
    </row>
    <row r="18">
      <c r="A18" s="44"/>
      <c r="B18" s="44"/>
      <c r="C18" s="44"/>
      <c r="D18" s="44"/>
      <c r="E18" s="44"/>
      <c r="F18" s="44"/>
      <c r="G18" s="44"/>
      <c r="H18" s="45"/>
      <c r="I18" s="44"/>
      <c r="J18" s="46"/>
      <c r="K18" s="44"/>
      <c r="L18" s="44"/>
      <c r="M18" s="44"/>
      <c r="N18" s="47"/>
      <c r="O18" s="44"/>
      <c r="P18" s="44"/>
      <c r="Q18" s="44"/>
      <c r="R18" s="44"/>
    </row>
  </sheetData>
  <mergeCells count="2">
    <mergeCell ref="C1:D1"/>
    <mergeCell ref="E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30.63"/>
    <col customWidth="1" min="3" max="3" width="36.13"/>
    <col customWidth="1" min="4" max="4" width="18.38"/>
    <col customWidth="1" min="5" max="5" width="44.0"/>
    <col customWidth="1" min="9" max="14" width="2.88"/>
  </cols>
  <sheetData>
    <row r="1">
      <c r="A1" s="2" t="s">
        <v>0</v>
      </c>
      <c r="B1" s="3" t="s">
        <v>4</v>
      </c>
      <c r="C1" s="5" t="s">
        <v>5</v>
      </c>
      <c r="D1" s="7" t="s">
        <v>7</v>
      </c>
      <c r="E1" s="7" t="s">
        <v>8</v>
      </c>
    </row>
    <row r="2">
      <c r="A2" s="9" t="s">
        <v>10</v>
      </c>
      <c r="B2" s="10"/>
      <c r="C2" s="10"/>
      <c r="D2" s="10"/>
      <c r="E2" s="6"/>
    </row>
    <row r="3">
      <c r="A3" s="12">
        <v>1.0</v>
      </c>
      <c r="B3" s="15" t="s">
        <v>19</v>
      </c>
      <c r="C3" s="16" t="s">
        <v>20</v>
      </c>
      <c r="D3" s="19" t="s">
        <v>22</v>
      </c>
      <c r="E3" s="20" t="s">
        <v>27</v>
      </c>
      <c r="G3" s="21"/>
    </row>
    <row r="4">
      <c r="A4" s="15">
        <f t="shared" ref="A4:A16" si="1">sum(A3+1)</f>
        <v>2</v>
      </c>
      <c r="B4" s="15" t="s">
        <v>31</v>
      </c>
      <c r="C4" s="28"/>
      <c r="D4" s="19" t="s">
        <v>22</v>
      </c>
      <c r="E4" s="20" t="s">
        <v>27</v>
      </c>
      <c r="G4" s="29"/>
      <c r="I4" s="30"/>
      <c r="J4" s="30"/>
      <c r="K4" s="30"/>
      <c r="L4" s="30"/>
      <c r="M4" s="30"/>
      <c r="N4" s="30"/>
    </row>
    <row r="5">
      <c r="A5" s="15">
        <f t="shared" si="1"/>
        <v>3</v>
      </c>
      <c r="B5" s="15" t="s">
        <v>41</v>
      </c>
      <c r="C5" s="28"/>
      <c r="D5" s="31"/>
      <c r="E5" s="34" t="s">
        <v>45</v>
      </c>
      <c r="H5" s="29"/>
    </row>
    <row r="6">
      <c r="A6" s="15">
        <f t="shared" si="1"/>
        <v>4</v>
      </c>
      <c r="B6" s="15" t="s">
        <v>56</v>
      </c>
      <c r="C6" s="28"/>
      <c r="D6" s="19" t="s">
        <v>22</v>
      </c>
      <c r="E6" s="20" t="s">
        <v>58</v>
      </c>
      <c r="H6" s="29"/>
    </row>
    <row r="7">
      <c r="A7" s="15">
        <f t="shared" si="1"/>
        <v>5</v>
      </c>
      <c r="B7" s="15" t="s">
        <v>60</v>
      </c>
      <c r="C7" s="16" t="s">
        <v>61</v>
      </c>
      <c r="D7" s="19" t="s">
        <v>22</v>
      </c>
      <c r="E7" s="20" t="s">
        <v>27</v>
      </c>
      <c r="H7" s="29"/>
    </row>
    <row r="8">
      <c r="A8" s="15">
        <f t="shared" si="1"/>
        <v>6</v>
      </c>
      <c r="B8" s="15" t="s">
        <v>64</v>
      </c>
      <c r="C8" s="16" t="s">
        <v>65</v>
      </c>
      <c r="D8" s="19" t="s">
        <v>22</v>
      </c>
      <c r="E8" s="31"/>
      <c r="H8" s="29"/>
    </row>
    <row r="9">
      <c r="A9" s="15">
        <f t="shared" si="1"/>
        <v>7</v>
      </c>
      <c r="B9" s="15" t="s">
        <v>66</v>
      </c>
      <c r="C9" s="16" t="s">
        <v>67</v>
      </c>
      <c r="D9" s="19" t="s">
        <v>22</v>
      </c>
      <c r="E9" s="31"/>
      <c r="H9" s="29"/>
    </row>
    <row r="10">
      <c r="A10" s="15">
        <f t="shared" si="1"/>
        <v>8</v>
      </c>
      <c r="B10" s="15" t="s">
        <v>68</v>
      </c>
      <c r="C10" s="28"/>
      <c r="D10" s="31"/>
      <c r="E10" s="31"/>
      <c r="H10" s="29"/>
    </row>
    <row r="11">
      <c r="A11" s="15">
        <f t="shared" si="1"/>
        <v>9</v>
      </c>
      <c r="B11" s="15" t="s">
        <v>69</v>
      </c>
      <c r="C11" s="16" t="s">
        <v>70</v>
      </c>
      <c r="D11" s="19" t="s">
        <v>22</v>
      </c>
      <c r="E11" s="37" t="s">
        <v>73</v>
      </c>
      <c r="H11" s="29"/>
    </row>
    <row r="12">
      <c r="A12" s="15">
        <f t="shared" si="1"/>
        <v>10</v>
      </c>
      <c r="B12" s="15" t="s">
        <v>83</v>
      </c>
      <c r="C12" s="16" t="s">
        <v>84</v>
      </c>
      <c r="D12" s="19" t="s">
        <v>22</v>
      </c>
      <c r="E12" s="20" t="s">
        <v>85</v>
      </c>
      <c r="H12" s="29"/>
    </row>
    <row r="13">
      <c r="A13" s="15">
        <f t="shared" si="1"/>
        <v>11</v>
      </c>
      <c r="B13" s="15" t="s">
        <v>88</v>
      </c>
      <c r="C13" s="16" t="s">
        <v>89</v>
      </c>
      <c r="D13" s="19" t="s">
        <v>22</v>
      </c>
      <c r="E13" s="20" t="s">
        <v>27</v>
      </c>
      <c r="H13" s="29"/>
    </row>
    <row r="14">
      <c r="A14" s="15">
        <f t="shared" si="1"/>
        <v>12</v>
      </c>
      <c r="B14" s="15" t="s">
        <v>91</v>
      </c>
      <c r="C14" s="16" t="s">
        <v>92</v>
      </c>
      <c r="D14" s="19" t="s">
        <v>22</v>
      </c>
      <c r="E14" s="34" t="s">
        <v>94</v>
      </c>
      <c r="H14" s="29"/>
    </row>
    <row r="15">
      <c r="A15" s="15">
        <f t="shared" si="1"/>
        <v>13</v>
      </c>
      <c r="B15" s="40" t="s">
        <v>99</v>
      </c>
      <c r="C15" s="16" t="s">
        <v>102</v>
      </c>
      <c r="D15" s="19" t="s">
        <v>22</v>
      </c>
      <c r="E15" s="37" t="s">
        <v>103</v>
      </c>
      <c r="H15" s="41"/>
    </row>
    <row r="16">
      <c r="A16" s="15">
        <f t="shared" si="1"/>
        <v>14</v>
      </c>
      <c r="B16" s="42" t="s">
        <v>106</v>
      </c>
      <c r="C16" s="16" t="s">
        <v>111</v>
      </c>
      <c r="D16" s="19" t="s">
        <v>22</v>
      </c>
      <c r="E16" s="20" t="s">
        <v>112</v>
      </c>
      <c r="H16" s="41"/>
    </row>
    <row r="17">
      <c r="C17" s="43"/>
    </row>
    <row r="18">
      <c r="C18" s="43"/>
    </row>
    <row r="19">
      <c r="C19" s="43"/>
    </row>
    <row r="20">
      <c r="C20" s="43"/>
    </row>
    <row r="21">
      <c r="C21" s="43"/>
    </row>
    <row r="22">
      <c r="C22" s="43"/>
    </row>
    <row r="23">
      <c r="C23" s="43"/>
    </row>
    <row r="24">
      <c r="C24" s="43"/>
    </row>
    <row r="25">
      <c r="C25" s="43"/>
    </row>
    <row r="26">
      <c r="C26" s="43"/>
    </row>
    <row r="27">
      <c r="C27" s="43"/>
    </row>
    <row r="28">
      <c r="C28" s="43"/>
    </row>
    <row r="29">
      <c r="C29" s="43"/>
    </row>
    <row r="30">
      <c r="C30" s="43"/>
    </row>
    <row r="31">
      <c r="C31" s="43"/>
    </row>
    <row r="32">
      <c r="C32" s="43"/>
    </row>
    <row r="33">
      <c r="C33" s="43"/>
    </row>
    <row r="34">
      <c r="C34" s="43"/>
    </row>
    <row r="35">
      <c r="C35" s="43"/>
    </row>
    <row r="36">
      <c r="C36" s="43"/>
    </row>
    <row r="37">
      <c r="C37" s="43"/>
    </row>
    <row r="38">
      <c r="C38" s="43"/>
    </row>
    <row r="39">
      <c r="C39" s="43"/>
    </row>
    <row r="40">
      <c r="C40" s="43"/>
    </row>
    <row r="41">
      <c r="C41" s="43"/>
    </row>
    <row r="42">
      <c r="C42" s="43"/>
    </row>
    <row r="43">
      <c r="C43" s="43"/>
    </row>
    <row r="44">
      <c r="C44" s="43"/>
    </row>
    <row r="45">
      <c r="C45" s="43"/>
    </row>
    <row r="46">
      <c r="C46" s="43"/>
    </row>
    <row r="47">
      <c r="C47" s="43"/>
    </row>
    <row r="48">
      <c r="C48" s="43"/>
    </row>
    <row r="49">
      <c r="C49" s="43"/>
    </row>
    <row r="50">
      <c r="C50" s="43"/>
    </row>
    <row r="51">
      <c r="C51" s="43"/>
    </row>
    <row r="52">
      <c r="C52" s="43"/>
    </row>
    <row r="53">
      <c r="C53" s="43"/>
    </row>
    <row r="54">
      <c r="C54" s="43"/>
    </row>
    <row r="55">
      <c r="C55" s="43"/>
    </row>
    <row r="56">
      <c r="C56" s="43"/>
    </row>
    <row r="57">
      <c r="C57" s="43"/>
    </row>
    <row r="58">
      <c r="C58" s="43"/>
    </row>
    <row r="59">
      <c r="C59" s="43"/>
    </row>
    <row r="60">
      <c r="C60" s="43"/>
    </row>
    <row r="61">
      <c r="C61" s="43"/>
    </row>
    <row r="62">
      <c r="C62" s="43"/>
    </row>
    <row r="63">
      <c r="C63" s="43"/>
    </row>
    <row r="64">
      <c r="C64" s="43"/>
    </row>
    <row r="65">
      <c r="C65" s="43"/>
    </row>
    <row r="66">
      <c r="C66" s="43"/>
    </row>
    <row r="67">
      <c r="C67" s="43"/>
    </row>
    <row r="68">
      <c r="C68" s="43"/>
    </row>
    <row r="69">
      <c r="C69" s="43"/>
    </row>
    <row r="70">
      <c r="C70" s="43"/>
    </row>
    <row r="71">
      <c r="C71" s="43"/>
    </row>
    <row r="72">
      <c r="C72" s="43"/>
    </row>
    <row r="73">
      <c r="C73" s="43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</sheetData>
  <mergeCells count="3">
    <mergeCell ref="A2:E2"/>
    <mergeCell ref="G3:I3"/>
    <mergeCell ref="G4:H4"/>
  </mergeCells>
  <hyperlinks>
    <hyperlink r:id="rId1" ref="E5"/>
    <hyperlink r:id="rId2" ref="E11"/>
    <hyperlink r:id="rId3" ref="E14"/>
    <hyperlink r:id="rId4" ref="E15"/>
  </hyperlinks>
  <drawing r:id="rId5"/>
</worksheet>
</file>